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Weekly Check-in" sheetId="2" state="visible" r:id="rId4"/>
    <sheet name="Workout Log" sheetId="3" state="visible" r:id="rId5"/>
    <sheet name="PR Board" sheetId="4" state="visible" r:id="rId6"/>
    <sheet name="Lis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<sst xmlns="http://schemas.openxmlformats.org/spreadsheetml/2006/main" count="97" uniqueCount="83">
  <si>
    <t xml:space="preserve">LEVEL UP TRACKER</t>
  </si>
  <si>
    <t xml:space="preserve">ANIMEBULK · Log lifts and bodyweight, level up every week · animebulk.com</t>
  </si>
  <si>
    <t xml:space="preserve">How it works</t>
  </si>
  <si>
    <t xml:space="preserve">1. Fill the yellow cells on this sheet (your units and targets). Blue text = your inputs. Black = formulas, leave them.</t>
  </si>
  <si>
    <t xml:space="preserve">2. Weekly Check-in: weigh yourself 3 mornings a week, type the numbers in. The sheet averages them and tells you whether to add or cut calories.</t>
  </si>
  <si>
    <t xml:space="preserve">3. Workout Log: one row per set. Pick the exercise from the dropdown, type weight and reps. Estimated 1-rep max (Epley formula) and PR flags are automatic.</t>
  </si>
  <si>
    <t xml:space="preserve">4. PR Board: your best lift per exercise, updated automatically from the log.</t>
  </si>
  <si>
    <t xml:space="preserve">5. Example rows are shown in grey italics. Overwrite or delete them when you start.</t>
  </si>
  <si>
    <t xml:space="preserve">Your settings</t>
  </si>
  <si>
    <t xml:space="preserve">Units</t>
  </si>
  <si>
    <t xml:space="preserve">lb</t>
  </si>
  <si>
    <t xml:space="preserve">Pick lb or kg. Targets below are in these units.</t>
  </si>
  <si>
    <t xml:space="preserve">Weekly gain target: minimum</t>
  </si>
  <si>
    <t xml:space="preserve">Skinny guys: 0.5 lb (0.25 kg) per week. Below this for 2 weeks = eat more.</t>
  </si>
  <si>
    <t xml:space="preserve">Weekly gain target: maximum</t>
  </si>
  <si>
    <t xml:space="preserve">Above 1.5× this (default 1.5 lb / 0.7 kg) = mostly fat, eat a little less.</t>
  </si>
  <si>
    <t xml:space="preserve">Daily calorie target (from animebulk.com/calculator)</t>
  </si>
  <si>
    <t xml:space="preserve">Your starting number. Update it when the check-in sheet tells you to.</t>
  </si>
  <si>
    <t xml:space="preserve">Daily protein target (g)</t>
  </si>
  <si>
    <t xml:space="preserve">0.8–1 g per lb of bodyweight (1.8–2.2 g per kg).</t>
  </si>
  <si>
    <t xml:space="preserve">Legend</t>
  </si>
  <si>
    <t xml:space="preserve">Yellow fill / blue text = type here</t>
  </si>
  <si>
    <t xml:space="preserve">Black = formula, do not edit</t>
  </si>
  <si>
    <t xml:space="preserve">Estimated 1RM uses the Epley formula: weight × (1 + reps ÷ 30). Accurate for 1–10 reps; treat higher-rep estimates as rough.</t>
  </si>
  <si>
    <t xml:space="preserve">General fitness information, not medical advice. © 2026 ANIMEBULK</t>
  </si>
  <si>
    <t xml:space="preserve">Week</t>
  </si>
  <si>
    <t xml:space="preserve">Week starting</t>
  </si>
  <si>
    <t xml:space="preserve">Weigh-in 1</t>
  </si>
  <si>
    <t xml:space="preserve">Weigh-in 2</t>
  </si>
  <si>
    <t xml:space="preserve">Weigh-in 3</t>
  </si>
  <si>
    <t xml:space="preserve">Weekly average</t>
  </si>
  <si>
    <t xml:space="preserve">Change vs last week</t>
  </si>
  <si>
    <t xml:space="preserve">Avg daily calories</t>
  </si>
  <si>
    <t xml:space="preserve">Verdict</t>
  </si>
  <si>
    <t xml:space="preserve">Notes</t>
  </si>
  <si>
    <t xml:space="preserve">Example row: delete me</t>
  </si>
  <si>
    <t xml:space="preserve">Weigh in 3 mornings a week after the bathroom, before food. Compare weekly averages, never single days. Targets come from the Start Here sheet.</t>
  </si>
  <si>
    <t xml:space="preserve">Date</t>
  </si>
  <si>
    <t xml:space="preserve">Session</t>
  </si>
  <si>
    <t xml:space="preserve">Exercise</t>
  </si>
  <si>
    <t xml:space="preserve">Set #</t>
  </si>
  <si>
    <t xml:space="preserve">Weight</t>
  </si>
  <si>
    <t xml:space="preserve">Reps</t>
  </si>
  <si>
    <t xml:space="preserve">Est. 1RM</t>
  </si>
  <si>
    <t xml:space="preserve">Best so far?</t>
  </si>
  <si>
    <t xml:space="preserve">A</t>
  </si>
  <si>
    <t xml:space="preserve">Goblet Squat</t>
  </si>
  <si>
    <t xml:space="preserve">Dumbbell Floor Press</t>
  </si>
  <si>
    <t xml:space="preserve">B</t>
  </si>
  <si>
    <t xml:space="preserve">Pull-up</t>
  </si>
  <si>
    <t xml:space="preserve">bodyweight moves: enter your bodyweight as the weight</t>
  </si>
  <si>
    <t xml:space="preserve">Best est. 1RM</t>
  </si>
  <si>
    <t xml:space="preserve">Sets logged</t>
  </si>
  <si>
    <t xml:space="preserve">Last logged</t>
  </si>
  <si>
    <t xml:space="preserve">Best est. 1RM = highest Epley estimate logged for that exercise. Add exercises on the Lists sheet; the dropdown and this board update automatically.</t>
  </si>
  <si>
    <t xml:space="preserve">Exercises (edit this list to add your own)</t>
  </si>
  <si>
    <t xml:space="preserve">Sessions</t>
  </si>
  <si>
    <t xml:space="preserve">kg</t>
  </si>
  <si>
    <t xml:space="preserve">Dumbbell Bench Press</t>
  </si>
  <si>
    <t xml:space="preserve">Upper</t>
  </si>
  <si>
    <t xml:space="preserve">Dumbbell Bent-Over Row</t>
  </si>
  <si>
    <t xml:space="preserve">Lower</t>
  </si>
  <si>
    <t xml:space="preserve">Single-Arm Dumbbell Row</t>
  </si>
  <si>
    <t xml:space="preserve">Push</t>
  </si>
  <si>
    <t xml:space="preserve">Dumbbell Romanian Deadlift</t>
  </si>
  <si>
    <t xml:space="preserve">Pull</t>
  </si>
  <si>
    <t xml:space="preserve">Dumbbell Overhead Press</t>
  </si>
  <si>
    <t xml:space="preserve">Legs</t>
  </si>
  <si>
    <t xml:space="preserve">Conditioning</t>
  </si>
  <si>
    <t xml:space="preserve">Chin-up</t>
  </si>
  <si>
    <t xml:space="preserve">Inverted Row</t>
  </si>
  <si>
    <t xml:space="preserve">Push-up</t>
  </si>
  <si>
    <t xml:space="preserve">Dumbbell Reverse Lunge</t>
  </si>
  <si>
    <t xml:space="preserve">Bulgarian Split Squat</t>
  </si>
  <si>
    <t xml:space="preserve">Hip Thrust</t>
  </si>
  <si>
    <t xml:space="preserve">Dumbbell Lateral Raise</t>
  </si>
  <si>
    <t xml:space="preserve">Dumbbell Curl</t>
  </si>
  <si>
    <t xml:space="preserve">Overhead Triceps Extension</t>
  </si>
  <si>
    <t xml:space="preserve">Farmer Carry</t>
  </si>
  <si>
    <t xml:space="preserve">Plank (seconds)</t>
  </si>
  <si>
    <t xml:space="preserve">Hanging Knee Raise</t>
  </si>
  <si>
    <t xml:space="preserve">Dead Hang (seconds)</t>
  </si>
  <si>
    <t xml:space="preserve">Other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</si>
</sst>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"/>
    <numFmt numFmtId="167" formatCode="\+0.0;\-0.0;0.0"/>
    <numFmt numFmtId="168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0B0F"/>
      <name val="Arial"/>
      <family val="0"/>
      <charset val="1"/>
    </font>
    <font>
      <sz val="10"/>
      <color rgb="FF44444D"/>
      <name val="Arial"/>
      <family val="0"/>
      <charset val="1"/>
    </font>
    <font>
      <b val="true"/>
      <sz val="11"/>
      <color rgb="FFFF2D2D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2D2D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B0B0F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color rgb="FFB51F1F"/>
      </font>
      <fill>
        <patternFill>
          <bgColor rgb="FFFFF3F3"/>
        </patternFill>
      </fill>
    </dxf>
    <dxf>
      <font>
        <name val="Arial"/>
        <charset val="1"/>
        <family val="0"/>
        <color rgb="FF1E7A1E"/>
      </font>
      <fill>
        <patternFill>
          <bgColor rgb="FFEAF7EA"/>
        </patternFill>
      </fill>
    </dxf>
    <dxf>
      <font>
        <name val="Arial"/>
        <charset val="1"/>
        <family val="0"/>
        <color rgb="FF9A6B00"/>
      </font>
      <fill>
        <patternFill>
          <bgColor rgb="FFFFF8E6"/>
        </patternFill>
      </fill>
    </dxf>
  </dxfs>
  <colors>
    <indexedColors>
      <rgbColor rgb="FF000000"/>
      <rgbColor rgb="FFFFFFFF"/>
      <rgbColor rgb="FFFF2D2D"/>
      <rgbColor rgb="FF00FF00"/>
      <rgbColor rgb="FF0000FF"/>
      <rgbColor rgb="FFFFFF00"/>
      <rgbColor rgb="FFFF00FF"/>
      <rgbColor rgb="FF00FFFF"/>
      <rgbColor rgb="FF800000"/>
      <rgbColor rgb="FF1E7A1E"/>
      <rgbColor rgb="FF000080"/>
      <rgbColor rgb="FF9A6B00"/>
      <rgbColor rgb="FF800080"/>
      <rgbColor rgb="FF008080"/>
      <rgbColor rgb="FFC0C0C0"/>
      <rgbColor rgb="FF808080"/>
      <rgbColor rgb="FF9999FF"/>
      <rgbColor rgb="FF993366"/>
      <rgbColor rgb="FFFFF8E6"/>
      <rgbColor rgb="FFEAF7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3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F"/>
      <rgbColor rgb="FF333300"/>
      <rgbColor rgb="FFB51F1F"/>
      <rgbColor rgb="FF993366"/>
      <rgbColor rgb="FF333399"/>
      <rgbColor rgb="FF4444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/>
      <c r="C5" s="4"/>
    </row>
    <row r="6" customFormat="false" ht="15" hidden="false" customHeight="false" outlineLevel="0" collapsed="false">
      <c r="A6" s="4" t="s">
        <v>4</v>
      </c>
      <c r="B6" s="4"/>
      <c r="C6" s="4"/>
    </row>
    <row r="7" customFormat="false" ht="15" hidden="false" customHeight="false" outlineLevel="0" collapsed="false">
      <c r="A7" s="4" t="s">
        <v>5</v>
      </c>
      <c r="B7" s="4"/>
      <c r="C7" s="4"/>
    </row>
    <row r="8" customFormat="false" ht="15" hidden="false" customHeight="false" outlineLevel="0" collapsed="false">
      <c r="A8" s="4" t="s">
        <v>6</v>
      </c>
      <c r="B8" s="4"/>
      <c r="C8" s="4"/>
    </row>
    <row r="9" customFormat="false" ht="15" hidden="false" customHeight="false" outlineLevel="0" collapsed="false">
      <c r="A9" s="4" t="s">
        <v>7</v>
      </c>
      <c r="B9" s="4"/>
      <c r="C9" s="4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5" t="s">
        <v>9</v>
      </c>
      <c r="B12" s="6" t="s">
        <v>10</v>
      </c>
      <c r="C12" s="2" t="s">
        <v>11</v>
      </c>
    </row>
    <row r="13" customFormat="false" ht="15" hidden="false" customHeight="false" outlineLevel="0" collapsed="false">
      <c r="A13" s="5" t="s">
        <v>12</v>
      </c>
      <c r="B13" s="6" t="n">
        <v>0.5</v>
      </c>
      <c r="C13" s="2" t="s">
        <v>13</v>
      </c>
    </row>
    <row r="14" customFormat="false" ht="15" hidden="false" customHeight="false" outlineLevel="0" collapsed="false">
      <c r="A14" s="5" t="s">
        <v>14</v>
      </c>
      <c r="B14" s="6" t="n">
        <v>1</v>
      </c>
      <c r="C14" s="2" t="s">
        <v>15</v>
      </c>
    </row>
    <row r="15" customFormat="false" ht="15" hidden="false" customHeight="false" outlineLevel="0" collapsed="false">
      <c r="A15" s="5" t="s">
        <v>16</v>
      </c>
      <c r="B15" s="6" t="n">
        <v>2850</v>
      </c>
      <c r="C15" s="2" t="s">
        <v>17</v>
      </c>
    </row>
    <row r="16" customFormat="false" ht="15" hidden="false" customHeight="false" outlineLevel="0" collapsed="false">
      <c r="A16" s="5" t="s">
        <v>18</v>
      </c>
      <c r="B16" s="6" t="n">
        <v>135</v>
      </c>
      <c r="C16" s="2" t="s">
        <v>19</v>
      </c>
    </row>
    <row r="18" customFormat="false" ht="15" hidden="false" customHeight="false" outlineLevel="0" collapsed="false">
      <c r="A18" s="3" t="s">
        <v>20</v>
      </c>
    </row>
    <row r="19" customFormat="false" ht="15" hidden="false" customHeight="false" outlineLevel="0" collapsed="false">
      <c r="A19" s="6" t="s">
        <v>21</v>
      </c>
    </row>
    <row r="20" customFormat="false" ht="15" hidden="false" customHeight="false" outlineLevel="0" collapsed="false">
      <c r="A20" s="5" t="s">
        <v>22</v>
      </c>
    </row>
    <row r="22" customFormat="false" ht="15" hidden="false" customHeight="false" outlineLevel="0" collapsed="false">
      <c r="A22" s="7" t="s">
        <v>23</v>
      </c>
      <c r="B22" s="7"/>
      <c r="C22" s="7"/>
    </row>
    <row r="23" customFormat="false" ht="15" hidden="false" customHeight="false" outlineLevel="0" collapsed="false">
      <c r="A23" s="7" t="s">
        <v>24</v>
      </c>
      <c r="B23" s="7"/>
      <c r="C23" s="7"/>
    </row>
  </sheetData>
  <mergeCells count="7">
    <mergeCell ref="A5:C5"/>
    <mergeCell ref="A6:C6"/>
    <mergeCell ref="A7:C7"/>
    <mergeCell ref="A8:C8"/>
    <mergeCell ref="A9:C9"/>
    <mergeCell ref="A22:C22"/>
    <mergeCell ref="A23:C23"/>
  </mergeCells>
  <dataValidations count="1">
    <dataValidation allowBlank="false" errorStyle="stop" operator="between" showDropDown="false" showErrorMessage="false" showInputMessage="false" sqref="B12" type="list">
      <formula1>Lists!$E$2:$E$3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6" min="6" style="0" width="15"/>
    <col collapsed="false" customWidth="true" hidden="false" outlineLevel="0" max="8" min="7" style="0" width="18"/>
    <col collapsed="false" customWidth="true" hidden="false" outlineLevel="0" max="9" min="9" style="0" width="36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8" t="s">
        <v>25</v>
      </c>
      <c r="B1" s="8" t="s">
        <v>26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</row>
    <row r="2" customFormat="false" ht="15" hidden="false" customHeight="false" outlineLevel="0" collapsed="false">
      <c r="A2" s="5" t="n">
        <v>1</v>
      </c>
      <c r="B2" s="9" t="n">
        <v>46321</v>
      </c>
      <c r="C2" s="10" t="n">
        <v>142</v>
      </c>
      <c r="D2" s="10" t="n">
        <v>142.6</v>
      </c>
      <c r="E2" s="10" t="n">
        <v>142.2</v>
      </c>
      <c r="F2" s="11" t="n">
        <f aca="false">IF(COUNT(C2:E2)=0,"",AVERAGE(C2:E2))</f>
        <v>142.266666666667</v>
      </c>
      <c r="G2" s="12" t="str">
        <f aca="false">""</f>
        <v/>
      </c>
      <c r="H2" s="13" t="n">
        <v>2700</v>
      </c>
      <c r="I2" s="5" t="str">
        <f aca="false">IF(G2="","",IF(G2&lt;'Start Here'!$B$13,"Below target: add 200 kcal/day",IF(G2&gt;'Start Here'!$B$14*1.5,"Too fast: cut 150 kcal/day","On target: change nothing")))</f>
        <v/>
      </c>
      <c r="J2" s="14" t="s">
        <v>35</v>
      </c>
    </row>
    <row r="3" customFormat="false" ht="15" hidden="false" customHeight="false" outlineLevel="0" collapsed="false">
      <c r="A3" s="5" t="n">
        <v>2</v>
      </c>
      <c r="B3" s="9" t="n">
        <v>46328</v>
      </c>
      <c r="C3" s="10" t="n">
        <v>142.4</v>
      </c>
      <c r="D3" s="10" t="n">
        <v>143.1</v>
      </c>
      <c r="E3" s="10" t="n">
        <v>142.9</v>
      </c>
      <c r="F3" s="11" t="n">
        <f aca="false">IF(COUNT(C3:E3)=0,"",AVERAGE(C3:E3))</f>
        <v>142.8</v>
      </c>
      <c r="G3" s="12" t="n">
        <f aca="false">IF(OR(F3="",F2=""),"",F3-F2)</f>
        <v>0.533333333333331</v>
      </c>
      <c r="H3" s="13" t="n">
        <v>2850</v>
      </c>
      <c r="I3" s="5" t="str">
        <f aca="false">IF(G3="","",IF(G3&lt;'Start Here'!$B$13,"Below target: add 200 kcal/day",IF(G3&gt;'Start Here'!$B$14*1.5,"Too fast: cut 150 kcal/day","On target: change nothing")))</f>
        <v>On target: change nothing</v>
      </c>
      <c r="J3" s="14" t="s">
        <v>35</v>
      </c>
    </row>
    <row r="4" customFormat="false" ht="15" hidden="false" customHeight="false" outlineLevel="0" collapsed="false">
      <c r="A4" s="5" t="n">
        <v>3</v>
      </c>
      <c r="B4" s="9" t="n">
        <v>46335</v>
      </c>
      <c r="C4" s="15"/>
      <c r="D4" s="15"/>
      <c r="E4" s="15"/>
      <c r="F4" s="11" t="str">
        <f aca="false">IF(COUNT(C4:E4)=0,"",AVERAGE(C4:E4))</f>
        <v/>
      </c>
      <c r="G4" s="12" t="str">
        <f aca="false">IF(OR(F4="",F3=""),"",F4-F3)</f>
        <v/>
      </c>
      <c r="H4" s="16"/>
      <c r="I4" s="5" t="str">
        <f aca="false">IF(G4="","",IF(G4&lt;'Start Here'!$B$13,"Below target: add 200 kcal/day",IF(G4&gt;'Start Here'!$B$14*1.5,"Too fast: cut 150 kcal/day","On target: change nothing")))</f>
        <v/>
      </c>
      <c r="J4" s="6"/>
    </row>
    <row r="5" customFormat="false" ht="15" hidden="false" customHeight="false" outlineLevel="0" collapsed="false">
      <c r="A5" s="5" t="n">
        <v>4</v>
      </c>
      <c r="B5" s="9" t="n">
        <v>46342</v>
      </c>
      <c r="C5" s="15"/>
      <c r="D5" s="15"/>
      <c r="E5" s="15"/>
      <c r="F5" s="11" t="str">
        <f aca="false">IF(COUNT(C5:E5)=0,"",AVERAGE(C5:E5))</f>
        <v/>
      </c>
      <c r="G5" s="12" t="str">
        <f aca="false">IF(OR(F5="",F4=""),"",F5-F4)</f>
        <v/>
      </c>
      <c r="H5" s="16"/>
      <c r="I5" s="5" t="str">
        <f aca="false">IF(G5="","",IF(G5&lt;'Start Here'!$B$13,"Below target: add 200 kcal/day",IF(G5&gt;'Start Here'!$B$14*1.5,"Too fast: cut 150 kcal/day","On target: change nothing")))</f>
        <v/>
      </c>
      <c r="J5" s="6"/>
    </row>
    <row r="6" customFormat="false" ht="15" hidden="false" customHeight="false" outlineLevel="0" collapsed="false">
      <c r="A6" s="5" t="n">
        <v>5</v>
      </c>
      <c r="B6" s="9" t="n">
        <v>46349</v>
      </c>
      <c r="C6" s="15"/>
      <c r="D6" s="15"/>
      <c r="E6" s="15"/>
      <c r="F6" s="11" t="str">
        <f aca="false">IF(COUNT(C6:E6)=0,"",AVERAGE(C6:E6))</f>
        <v/>
      </c>
      <c r="G6" s="12" t="str">
        <f aca="false">IF(OR(F6="",F5=""),"",F6-F5)</f>
        <v/>
      </c>
      <c r="H6" s="16"/>
      <c r="I6" s="5" t="str">
        <f aca="false">IF(G6="","",IF(G6&lt;'Start Here'!$B$13,"Below target: add 200 kcal/day",IF(G6&gt;'Start Here'!$B$14*1.5,"Too fast: cut 150 kcal/day","On target: change nothing")))</f>
        <v/>
      </c>
      <c r="J6" s="6"/>
    </row>
    <row r="7" customFormat="false" ht="15" hidden="false" customHeight="false" outlineLevel="0" collapsed="false">
      <c r="A7" s="5" t="n">
        <v>6</v>
      </c>
      <c r="B7" s="9" t="n">
        <v>46356</v>
      </c>
      <c r="C7" s="15"/>
      <c r="D7" s="15"/>
      <c r="E7" s="15"/>
      <c r="F7" s="11" t="str">
        <f aca="false">IF(COUNT(C7:E7)=0,"",AVERAGE(C7:E7))</f>
        <v/>
      </c>
      <c r="G7" s="12" t="str">
        <f aca="false">IF(OR(F7="",F6=""),"",F7-F6)</f>
        <v/>
      </c>
      <c r="H7" s="16"/>
      <c r="I7" s="5" t="str">
        <f aca="false">IF(G7="","",IF(G7&lt;'Start Here'!$B$13,"Below target: add 200 kcal/day",IF(G7&gt;'Start Here'!$B$14*1.5,"Too fast: cut 150 kcal/day","On target: change nothing")))</f>
        <v/>
      </c>
      <c r="J7" s="6"/>
    </row>
    <row r="8" customFormat="false" ht="15" hidden="false" customHeight="false" outlineLevel="0" collapsed="false">
      <c r="A8" s="5" t="n">
        <v>7</v>
      </c>
      <c r="B8" s="9" t="n">
        <v>46363</v>
      </c>
      <c r="C8" s="15"/>
      <c r="D8" s="15"/>
      <c r="E8" s="15"/>
      <c r="F8" s="11" t="str">
        <f aca="false">IF(COUNT(C8:E8)=0,"",AVERAGE(C8:E8))</f>
        <v/>
      </c>
      <c r="G8" s="12" t="str">
        <f aca="false">IF(OR(F8="",F7=""),"",F8-F7)</f>
        <v/>
      </c>
      <c r="H8" s="16"/>
      <c r="I8" s="5" t="str">
        <f aca="false">IF(G8="","",IF(G8&lt;'Start Here'!$B$13,"Below target: add 200 kcal/day",IF(G8&gt;'Start Here'!$B$14*1.5,"Too fast: cut 150 kcal/day","On target: change nothing")))</f>
        <v/>
      </c>
      <c r="J8" s="6"/>
    </row>
    <row r="9" customFormat="false" ht="15" hidden="false" customHeight="false" outlineLevel="0" collapsed="false">
      <c r="A9" s="5" t="n">
        <v>8</v>
      </c>
      <c r="B9" s="9" t="n">
        <v>46370</v>
      </c>
      <c r="C9" s="15"/>
      <c r="D9" s="15"/>
      <c r="E9" s="15"/>
      <c r="F9" s="11" t="str">
        <f aca="false">IF(COUNT(C9:E9)=0,"",AVERAGE(C9:E9))</f>
        <v/>
      </c>
      <c r="G9" s="12" t="str">
        <f aca="false">IF(OR(F9="",F8=""),"",F9-F8)</f>
        <v/>
      </c>
      <c r="H9" s="16"/>
      <c r="I9" s="5" t="str">
        <f aca="false">IF(G9="","",IF(G9&lt;'Start Here'!$B$13,"Below target: add 200 kcal/day",IF(G9&gt;'Start Here'!$B$14*1.5,"Too fast: cut 150 kcal/day","On target: change nothing")))</f>
        <v/>
      </c>
      <c r="J9" s="6"/>
    </row>
    <row r="10" customFormat="false" ht="15" hidden="false" customHeight="false" outlineLevel="0" collapsed="false">
      <c r="A10" s="5" t="n">
        <v>9</v>
      </c>
      <c r="B10" s="9" t="n">
        <v>46377</v>
      </c>
      <c r="C10" s="15"/>
      <c r="D10" s="15"/>
      <c r="E10" s="15"/>
      <c r="F10" s="11" t="str">
        <f aca="false">IF(COUNT(C10:E10)=0,"",AVERAGE(C10:E10))</f>
        <v/>
      </c>
      <c r="G10" s="12" t="str">
        <f aca="false">IF(OR(F10="",F9=""),"",F10-F9)</f>
        <v/>
      </c>
      <c r="H10" s="16"/>
      <c r="I10" s="5" t="str">
        <f aca="false">IF(G10="","",IF(G10&lt;'Start Here'!$B$13,"Below target: add 200 kcal/day",IF(G10&gt;'Start Here'!$B$14*1.5,"Too fast: cut 150 kcal/day","On target: change nothing")))</f>
        <v/>
      </c>
      <c r="J10" s="6"/>
    </row>
    <row r="11" customFormat="false" ht="15" hidden="false" customHeight="false" outlineLevel="0" collapsed="false">
      <c r="A11" s="5" t="n">
        <v>10</v>
      </c>
      <c r="B11" s="9" t="n">
        <v>46384</v>
      </c>
      <c r="C11" s="15"/>
      <c r="D11" s="15"/>
      <c r="E11" s="15"/>
      <c r="F11" s="11" t="str">
        <f aca="false">IF(COUNT(C11:E11)=0,"",AVERAGE(C11:E11))</f>
        <v/>
      </c>
      <c r="G11" s="12" t="str">
        <f aca="false">IF(OR(F11="",F10=""),"",F11-F10)</f>
        <v/>
      </c>
      <c r="H11" s="16"/>
      <c r="I11" s="5" t="str">
        <f aca="false">IF(G11="","",IF(G11&lt;'Start Here'!$B$13,"Below target: add 200 kcal/day",IF(G11&gt;'Start Here'!$B$14*1.5,"Too fast: cut 150 kcal/day","On target: change nothing")))</f>
        <v/>
      </c>
      <c r="J11" s="6"/>
    </row>
    <row r="12" customFormat="false" ht="15" hidden="false" customHeight="false" outlineLevel="0" collapsed="false">
      <c r="A12" s="5" t="n">
        <v>11</v>
      </c>
      <c r="B12" s="9" t="n">
        <v>46391</v>
      </c>
      <c r="C12" s="15"/>
      <c r="D12" s="15"/>
      <c r="E12" s="15"/>
      <c r="F12" s="11" t="str">
        <f aca="false">IF(COUNT(C12:E12)=0,"",AVERAGE(C12:E12))</f>
        <v/>
      </c>
      <c r="G12" s="12" t="str">
        <f aca="false">IF(OR(F12="",F11=""),"",F12-F11)</f>
        <v/>
      </c>
      <c r="H12" s="16"/>
      <c r="I12" s="5" t="str">
        <f aca="false">IF(G12="","",IF(G12&lt;'Start Here'!$B$13,"Below target: add 200 kcal/day",IF(G12&gt;'Start Here'!$B$14*1.5,"Too fast: cut 150 kcal/day","On target: change nothing")))</f>
        <v/>
      </c>
      <c r="J12" s="6"/>
    </row>
    <row r="13" customFormat="false" ht="15" hidden="false" customHeight="false" outlineLevel="0" collapsed="false">
      <c r="A13" s="5" t="n">
        <v>12</v>
      </c>
      <c r="B13" s="9" t="n">
        <v>46398</v>
      </c>
      <c r="C13" s="15"/>
      <c r="D13" s="15"/>
      <c r="E13" s="15"/>
      <c r="F13" s="11" t="str">
        <f aca="false">IF(COUNT(C13:E13)=0,"",AVERAGE(C13:E13))</f>
        <v/>
      </c>
      <c r="G13" s="12" t="str">
        <f aca="false">IF(OR(F13="",F12=""),"",F13-F12)</f>
        <v/>
      </c>
      <c r="H13" s="16"/>
      <c r="I13" s="5" t="str">
        <f aca="false">IF(G13="","",IF(G13&lt;'Start Here'!$B$13,"Below target: add 200 kcal/day",IF(G13&gt;'Start Here'!$B$14*1.5,"Too fast: cut 150 kcal/day","On target: change nothing")))</f>
        <v/>
      </c>
      <c r="J13" s="6"/>
    </row>
    <row r="16" customFormat="false" ht="15" hidden="false" customHeight="false" outlineLevel="0" collapsed="false">
      <c r="A16" s="7" t="s">
        <v>36</v>
      </c>
      <c r="B16" s="7"/>
      <c r="C16" s="7"/>
      <c r="D16" s="7"/>
      <c r="E16" s="7"/>
      <c r="F16" s="7"/>
      <c r="G16" s="7"/>
      <c r="H16" s="7"/>
      <c r="I16" s="7"/>
      <c r="J16" s="7"/>
    </row>
  </sheetData>
  <mergeCells count="1">
    <mergeCell ref="A16:J16"/>
  </mergeCells>
  <conditionalFormatting sqref="I2:I13">
    <cfRule type="expression" priority="2" aboveAverage="0" equalAverage="0" bottom="0" percent="0" rank="0" text="" dxfId="0">
      <formula>LEFT(I2,5)="Below"</formula>
    </cfRule>
    <cfRule type="expression" priority="3" aboveAverage="0" equalAverage="0" bottom="0" percent="0" rank="0" text="" dxfId="1">
      <formula>LEFT(I2,2)="On"</formula>
    </cfRule>
    <cfRule type="expression" priority="4" aboveAverage="0" equalAverage="0" bottom="0" percent="0" rank="0" text="" dxfId="2">
      <formula>LEFT(I2,3)="Too"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30"/>
  </cols>
  <sheetData>
    <row r="1" customFormat="false" ht="30" hidden="false" customHeight="true" outlineLevel="0" collapsed="false">
      <c r="A1" s="8" t="s">
        <v>37</v>
      </c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  <c r="I1" s="8" t="s">
        <v>34</v>
      </c>
    </row>
    <row r="2" customFormat="false" ht="15" hidden="false" customHeight="false" outlineLevel="0" collapsed="false">
      <c r="A2" s="17" t="n">
        <v>46321</v>
      </c>
      <c r="B2" s="14" t="s">
        <v>45</v>
      </c>
      <c r="C2" s="14" t="s">
        <v>46</v>
      </c>
      <c r="D2" s="14" t="n">
        <v>1</v>
      </c>
      <c r="E2" s="14" t="n">
        <v>35</v>
      </c>
      <c r="F2" s="14" t="n">
        <v>10</v>
      </c>
      <c r="G2" s="11" t="n">
        <f aca="false">IF(OR(E2="",F2=""),"",ROUND(E2*(1+F2/30),1))</f>
        <v>46.7</v>
      </c>
      <c r="H2" s="18" t="str">
        <f aca="false">IF(G2="","",IF(G2&gt;=_xlfn.MAXIFS($G$2:$G$501,$C$2:$C$501,C2),"PR",""))</f>
        <v>PR</v>
      </c>
      <c r="I2" s="14" t="s">
        <v>35</v>
      </c>
    </row>
    <row r="3" customFormat="false" ht="15" hidden="false" customHeight="false" outlineLevel="0" collapsed="false">
      <c r="A3" s="17" t="n">
        <v>46321</v>
      </c>
      <c r="B3" s="14" t="s">
        <v>45</v>
      </c>
      <c r="C3" s="14" t="s">
        <v>46</v>
      </c>
      <c r="D3" s="14" t="n">
        <v>2</v>
      </c>
      <c r="E3" s="14" t="n">
        <v>35</v>
      </c>
      <c r="F3" s="14" t="n">
        <v>10</v>
      </c>
      <c r="G3" s="11" t="n">
        <f aca="false">IF(OR(E3="",F3=""),"",ROUND(E3*(1+F3/30),1))</f>
        <v>46.7</v>
      </c>
      <c r="H3" s="18" t="str">
        <f aca="false">IF(G3="","",IF(G3&gt;=_xlfn.MAXIFS($G$2:$G$501,$C$2:$C$501,C3),"PR",""))</f>
        <v>PR</v>
      </c>
      <c r="I3" s="14"/>
    </row>
    <row r="4" customFormat="false" ht="15" hidden="false" customHeight="false" outlineLevel="0" collapsed="false">
      <c r="A4" s="17" t="n">
        <v>46321</v>
      </c>
      <c r="B4" s="14" t="s">
        <v>45</v>
      </c>
      <c r="C4" s="14" t="s">
        <v>47</v>
      </c>
      <c r="D4" s="14" t="n">
        <v>1</v>
      </c>
      <c r="E4" s="14" t="n">
        <v>30</v>
      </c>
      <c r="F4" s="14" t="n">
        <v>9</v>
      </c>
      <c r="G4" s="11" t="n">
        <f aca="false">IF(OR(E4="",F4=""),"",ROUND(E4*(1+F4/30),1))</f>
        <v>39</v>
      </c>
      <c r="H4" s="18" t="str">
        <f aca="false">IF(G4="","",IF(G4&gt;=_xlfn.MAXIFS($G$2:$G$501,$C$2:$C$501,C4),"PR",""))</f>
        <v>PR</v>
      </c>
      <c r="I4" s="14"/>
    </row>
    <row r="5" customFormat="false" ht="15" hidden="false" customHeight="false" outlineLevel="0" collapsed="false">
      <c r="A5" s="17" t="n">
        <v>46323</v>
      </c>
      <c r="B5" s="14" t="s">
        <v>48</v>
      </c>
      <c r="C5" s="14" t="s">
        <v>49</v>
      </c>
      <c r="D5" s="14" t="n">
        <v>1</v>
      </c>
      <c r="E5" s="14" t="n">
        <v>142</v>
      </c>
      <c r="F5" s="14" t="n">
        <v>5</v>
      </c>
      <c r="G5" s="11" t="n">
        <f aca="false">IF(OR(E5="",F5=""),"",ROUND(E5*(1+F5/30),1))</f>
        <v>165.7</v>
      </c>
      <c r="H5" s="18" t="str">
        <f aca="false">IF(G5="","",IF(G5&gt;=_xlfn.MAXIFS($G$2:$G$501,$C$2:$C$501,C5),"PR",""))</f>
        <v>PR</v>
      </c>
      <c r="I5" s="14" t="s">
        <v>50</v>
      </c>
    </row>
    <row r="6" customFormat="false" ht="15" hidden="false" customHeight="false" outlineLevel="0" collapsed="false">
      <c r="A6" s="9"/>
      <c r="B6" s="6"/>
      <c r="C6" s="6"/>
      <c r="D6" s="6"/>
      <c r="E6" s="6"/>
      <c r="F6" s="6"/>
      <c r="G6" s="11" t="str">
        <f aca="false">IF(OR(E6="",F6=""),"",ROUND(E6*(1+F6/30),1))</f>
        <v/>
      </c>
      <c r="H6" s="18" t="str">
        <f aca="false">IF(G6="","",IF(G6&gt;=_xlfn.MAXIFS($G$2:$G$501,$C$2:$C$501,C6),"PR",""))</f>
        <v/>
      </c>
      <c r="I6" s="6"/>
    </row>
    <row r="7" customFormat="false" ht="15" hidden="false" customHeight="false" outlineLevel="0" collapsed="false">
      <c r="A7" s="9"/>
      <c r="B7" s="6"/>
      <c r="C7" s="6"/>
      <c r="D7" s="6"/>
      <c r="E7" s="6"/>
      <c r="F7" s="6"/>
      <c r="G7" s="11" t="str">
        <f aca="false">IF(OR(E7="",F7=""),"",ROUND(E7*(1+F7/30),1))</f>
        <v/>
      </c>
      <c r="H7" s="18" t="str">
        <f aca="false">IF(G7="","",IF(G7&gt;=_xlfn.MAXIFS($G$2:$G$501,$C$2:$C$501,C7),"PR",""))</f>
        <v/>
      </c>
      <c r="I7" s="6"/>
    </row>
    <row r="8" customFormat="false" ht="15" hidden="false" customHeight="false" outlineLevel="0" collapsed="false">
      <c r="A8" s="9"/>
      <c r="B8" s="6"/>
      <c r="C8" s="6"/>
      <c r="D8" s="6"/>
      <c r="E8" s="6"/>
      <c r="F8" s="6"/>
      <c r="G8" s="11" t="str">
        <f aca="false">IF(OR(E8="",F8=""),"",ROUND(E8*(1+F8/30),1))</f>
        <v/>
      </c>
      <c r="H8" s="18" t="str">
        <f aca="false">IF(G8="","",IF(G8&gt;=_xlfn.MAXIFS($G$2:$G$501,$C$2:$C$501,C8),"PR",""))</f>
        <v/>
      </c>
      <c r="I8" s="6"/>
    </row>
    <row r="9" customFormat="false" ht="15" hidden="false" customHeight="false" outlineLevel="0" collapsed="false">
      <c r="A9" s="9"/>
      <c r="B9" s="6"/>
      <c r="C9" s="6"/>
      <c r="D9" s="6"/>
      <c r="E9" s="6"/>
      <c r="F9" s="6"/>
      <c r="G9" s="11" t="str">
        <f aca="false">IF(OR(E9="",F9=""),"",ROUND(E9*(1+F9/30),1))</f>
        <v/>
      </c>
      <c r="H9" s="18" t="str">
        <f aca="false">IF(G9="","",IF(G9&gt;=_xlfn.MAXIFS($G$2:$G$501,$C$2:$C$501,C9),"PR",""))</f>
        <v/>
      </c>
      <c r="I9" s="6"/>
    </row>
    <row r="10" customFormat="false" ht="15" hidden="false" customHeight="false" outlineLevel="0" collapsed="false">
      <c r="A10" s="9"/>
      <c r="B10" s="6"/>
      <c r="C10" s="6"/>
      <c r="D10" s="6"/>
      <c r="E10" s="6"/>
      <c r="F10" s="6"/>
      <c r="G10" s="11" t="str">
        <f aca="false">IF(OR(E10="",F10=""),"",ROUND(E10*(1+F10/30),1))</f>
        <v/>
      </c>
      <c r="H10" s="18" t="str">
        <f aca="false">IF(G10="","",IF(G10&gt;=_xlfn.MAXIFS($G$2:$G$501,$C$2:$C$501,C10),"PR",""))</f>
        <v/>
      </c>
      <c r="I10" s="6"/>
    </row>
    <row r="11" customFormat="false" ht="15" hidden="false" customHeight="false" outlineLevel="0" collapsed="false">
      <c r="A11" s="9"/>
      <c r="B11" s="6"/>
      <c r="C11" s="6"/>
      <c r="D11" s="6"/>
      <c r="E11" s="6"/>
      <c r="F11" s="6"/>
      <c r="G11" s="11" t="str">
        <f aca="false">IF(OR(E11="",F11=""),"",ROUND(E11*(1+F11/30),1))</f>
        <v/>
      </c>
      <c r="H11" s="18" t="str">
        <f aca="false">IF(G11="","",IF(G11&gt;=_xlfn.MAXIFS($G$2:$G$501,$C$2:$C$501,C11),"PR",""))</f>
        <v/>
      </c>
      <c r="I11" s="6"/>
    </row>
    <row r="12" customFormat="false" ht="15" hidden="false" customHeight="false" outlineLevel="0" collapsed="false">
      <c r="A12" s="9"/>
      <c r="B12" s="6"/>
      <c r="C12" s="6"/>
      <c r="D12" s="6"/>
      <c r="E12" s="6"/>
      <c r="F12" s="6"/>
      <c r="G12" s="11" t="str">
        <f aca="false">IF(OR(E12="",F12=""),"",ROUND(E12*(1+F12/30),1))</f>
        <v/>
      </c>
      <c r="H12" s="18" t="str">
        <f aca="false">IF(G12="","",IF(G12&gt;=_xlfn.MAXIFS($G$2:$G$501,$C$2:$C$501,C12),"PR",""))</f>
        <v/>
      </c>
      <c r="I12" s="6"/>
    </row>
    <row r="13" customFormat="false" ht="15" hidden="false" customHeight="false" outlineLevel="0" collapsed="false">
      <c r="A13" s="9"/>
      <c r="B13" s="6"/>
      <c r="C13" s="6"/>
      <c r="D13" s="6"/>
      <c r="E13" s="6"/>
      <c r="F13" s="6"/>
      <c r="G13" s="11" t="str">
        <f aca="false">IF(OR(E13="",F13=""),"",ROUND(E13*(1+F13/30),1))</f>
        <v/>
      </c>
      <c r="H13" s="18" t="str">
        <f aca="false">IF(G13="","",IF(G13&gt;=_xlfn.MAXIFS($G$2:$G$501,$C$2:$C$501,C13),"PR",""))</f>
        <v/>
      </c>
      <c r="I13" s="6"/>
    </row>
    <row r="14" customFormat="false" ht="15" hidden="false" customHeight="false" outlineLevel="0" collapsed="false">
      <c r="A14" s="9"/>
      <c r="B14" s="6"/>
      <c r="C14" s="6"/>
      <c r="D14" s="6"/>
      <c r="E14" s="6"/>
      <c r="F14" s="6"/>
      <c r="G14" s="11" t="str">
        <f aca="false">IF(OR(E14="",F14=""),"",ROUND(E14*(1+F14/30),1))</f>
        <v/>
      </c>
      <c r="H14" s="18" t="str">
        <f aca="false">IF(G14="","",IF(G14&gt;=_xlfn.MAXIFS($G$2:$G$501,$C$2:$C$501,C14),"PR",""))</f>
        <v/>
      </c>
      <c r="I14" s="6"/>
    </row>
    <row r="15" customFormat="false" ht="15" hidden="false" customHeight="false" outlineLevel="0" collapsed="false">
      <c r="A15" s="9"/>
      <c r="B15" s="6"/>
      <c r="C15" s="6"/>
      <c r="D15" s="6"/>
      <c r="E15" s="6"/>
      <c r="F15" s="6"/>
      <c r="G15" s="11" t="str">
        <f aca="false">IF(OR(E15="",F15=""),"",ROUND(E15*(1+F15/30),1))</f>
        <v/>
      </c>
      <c r="H15" s="18" t="str">
        <f aca="false">IF(G15="","",IF(G15&gt;=_xlfn.MAXIFS($G$2:$G$501,$C$2:$C$501,C15),"PR",""))</f>
        <v/>
      </c>
      <c r="I15" s="6"/>
    </row>
    <row r="16" customFormat="false" ht="15" hidden="false" customHeight="false" outlineLevel="0" collapsed="false">
      <c r="A16" s="9"/>
      <c r="B16" s="6"/>
      <c r="C16" s="6"/>
      <c r="D16" s="6"/>
      <c r="E16" s="6"/>
      <c r="F16" s="6"/>
      <c r="G16" s="11" t="str">
        <f aca="false">IF(OR(E16="",F16=""),"",ROUND(E16*(1+F16/30),1))</f>
        <v/>
      </c>
      <c r="H16" s="18" t="str">
        <f aca="false">IF(G16="","",IF(G16&gt;=_xlfn.MAXIFS($G$2:$G$501,$C$2:$C$501,C16),"PR",""))</f>
        <v/>
      </c>
      <c r="I16" s="6"/>
    </row>
    <row r="17" customFormat="false" ht="15" hidden="false" customHeight="false" outlineLevel="0" collapsed="false">
      <c r="A17" s="9"/>
      <c r="B17" s="6"/>
      <c r="C17" s="6"/>
      <c r="D17" s="6"/>
      <c r="E17" s="6"/>
      <c r="F17" s="6"/>
      <c r="G17" s="11" t="str">
        <f aca="false">IF(OR(E17="",F17=""),"",ROUND(E17*(1+F17/30),1))</f>
        <v/>
      </c>
      <c r="H17" s="18" t="str">
        <f aca="false">IF(G17="","",IF(G17&gt;=_xlfn.MAXIFS($G$2:$G$501,$C$2:$C$501,C17),"PR",""))</f>
        <v/>
      </c>
      <c r="I17" s="6"/>
    </row>
    <row r="18" customFormat="false" ht="15" hidden="false" customHeight="false" outlineLevel="0" collapsed="false">
      <c r="A18" s="9"/>
      <c r="B18" s="6"/>
      <c r="C18" s="6"/>
      <c r="D18" s="6"/>
      <c r="E18" s="6"/>
      <c r="F18" s="6"/>
      <c r="G18" s="11" t="str">
        <f aca="false">IF(OR(E18="",F18=""),"",ROUND(E18*(1+F18/30),1))</f>
        <v/>
      </c>
      <c r="H18" s="18" t="str">
        <f aca="false">IF(G18="","",IF(G18&gt;=_xlfn.MAXIFS($G$2:$G$501,$C$2:$C$501,C18),"PR",""))</f>
        <v/>
      </c>
      <c r="I18" s="6"/>
    </row>
    <row r="19" customFormat="false" ht="15" hidden="false" customHeight="false" outlineLevel="0" collapsed="false">
      <c r="A19" s="9"/>
      <c r="B19" s="6"/>
      <c r="C19" s="6"/>
      <c r="D19" s="6"/>
      <c r="E19" s="6"/>
      <c r="F19" s="6"/>
      <c r="G19" s="11" t="str">
        <f aca="false">IF(OR(E19="",F19=""),"",ROUND(E19*(1+F19/30),1))</f>
        <v/>
      </c>
      <c r="H19" s="18" t="str">
        <f aca="false">IF(G19="","",IF(G19&gt;=_xlfn.MAXIFS($G$2:$G$501,$C$2:$C$501,C19),"PR",""))</f>
        <v/>
      </c>
      <c r="I19" s="6"/>
    </row>
    <row r="20" customFormat="false" ht="15" hidden="false" customHeight="false" outlineLevel="0" collapsed="false">
      <c r="A20" s="9"/>
      <c r="B20" s="6"/>
      <c r="C20" s="6"/>
      <c r="D20" s="6"/>
      <c r="E20" s="6"/>
      <c r="F20" s="6"/>
      <c r="G20" s="11" t="str">
        <f aca="false">IF(OR(E20="",F20=""),"",ROUND(E20*(1+F20/30),1))</f>
        <v/>
      </c>
      <c r="H20" s="18" t="str">
        <f aca="false">IF(G20="","",IF(G20&gt;=_xlfn.MAXIFS($G$2:$G$501,$C$2:$C$501,C20),"PR",""))</f>
        <v/>
      </c>
      <c r="I20" s="6"/>
    </row>
    <row r="21" customFormat="false" ht="15" hidden="false" customHeight="false" outlineLevel="0" collapsed="false">
      <c r="A21" s="9"/>
      <c r="B21" s="6"/>
      <c r="C21" s="6"/>
      <c r="D21" s="6"/>
      <c r="E21" s="6"/>
      <c r="F21" s="6"/>
      <c r="G21" s="11" t="str">
        <f aca="false">IF(OR(E21="",F21=""),"",ROUND(E21*(1+F21/30),1))</f>
        <v/>
      </c>
      <c r="H21" s="18" t="str">
        <f aca="false">IF(G21="","",IF(G21&gt;=_xlfn.MAXIFS($G$2:$G$501,$C$2:$C$501,C21),"PR",""))</f>
        <v/>
      </c>
      <c r="I21" s="6"/>
    </row>
    <row r="22" customFormat="false" ht="15" hidden="false" customHeight="false" outlineLevel="0" collapsed="false">
      <c r="A22" s="9"/>
      <c r="B22" s="6"/>
      <c r="C22" s="6"/>
      <c r="D22" s="6"/>
      <c r="E22" s="6"/>
      <c r="F22" s="6"/>
      <c r="G22" s="11" t="str">
        <f aca="false">IF(OR(E22="",F22=""),"",ROUND(E22*(1+F22/30),1))</f>
        <v/>
      </c>
      <c r="H22" s="18" t="str">
        <f aca="false">IF(G22="","",IF(G22&gt;=_xlfn.MAXIFS($G$2:$G$501,$C$2:$C$501,C22),"PR",""))</f>
        <v/>
      </c>
      <c r="I22" s="6"/>
    </row>
    <row r="23" customFormat="false" ht="15" hidden="false" customHeight="false" outlineLevel="0" collapsed="false">
      <c r="A23" s="9"/>
      <c r="B23" s="6"/>
      <c r="C23" s="6"/>
      <c r="D23" s="6"/>
      <c r="E23" s="6"/>
      <c r="F23" s="6"/>
      <c r="G23" s="11" t="str">
        <f aca="false">IF(OR(E23="",F23=""),"",ROUND(E23*(1+F23/30),1))</f>
        <v/>
      </c>
      <c r="H23" s="18" t="str">
        <f aca="false">IF(G23="","",IF(G23&gt;=_xlfn.MAXIFS($G$2:$G$501,$C$2:$C$501,C23),"PR",""))</f>
        <v/>
      </c>
      <c r="I23" s="6"/>
    </row>
    <row r="24" customFormat="false" ht="15" hidden="false" customHeight="false" outlineLevel="0" collapsed="false">
      <c r="A24" s="9"/>
      <c r="B24" s="6"/>
      <c r="C24" s="6"/>
      <c r="D24" s="6"/>
      <c r="E24" s="6"/>
      <c r="F24" s="6"/>
      <c r="G24" s="11" t="str">
        <f aca="false">IF(OR(E24="",F24=""),"",ROUND(E24*(1+F24/30),1))</f>
        <v/>
      </c>
      <c r="H24" s="18" t="str">
        <f aca="false">IF(G24="","",IF(G24&gt;=_xlfn.MAXIFS($G$2:$G$501,$C$2:$C$501,C24),"PR",""))</f>
        <v/>
      </c>
      <c r="I24" s="6"/>
    </row>
    <row r="25" customFormat="false" ht="15" hidden="false" customHeight="false" outlineLevel="0" collapsed="false">
      <c r="A25" s="9"/>
      <c r="B25" s="6"/>
      <c r="C25" s="6"/>
      <c r="D25" s="6"/>
      <c r="E25" s="6"/>
      <c r="F25" s="6"/>
      <c r="G25" s="11" t="str">
        <f aca="false">IF(OR(E25="",F25=""),"",ROUND(E25*(1+F25/30),1))</f>
        <v/>
      </c>
      <c r="H25" s="18" t="str">
        <f aca="false">IF(G25="","",IF(G25&gt;=_xlfn.MAXIFS($G$2:$G$501,$C$2:$C$501,C25),"PR",""))</f>
        <v/>
      </c>
      <c r="I25" s="6"/>
    </row>
    <row r="26" customFormat="false" ht="15" hidden="false" customHeight="false" outlineLevel="0" collapsed="false">
      <c r="A26" s="9"/>
      <c r="B26" s="6"/>
      <c r="C26" s="6"/>
      <c r="D26" s="6"/>
      <c r="E26" s="6"/>
      <c r="F26" s="6"/>
      <c r="G26" s="11" t="str">
        <f aca="false">IF(OR(E26="",F26=""),"",ROUND(E26*(1+F26/30),1))</f>
        <v/>
      </c>
      <c r="H26" s="18" t="str">
        <f aca="false">IF(G26="","",IF(G26&gt;=_xlfn.MAXIFS($G$2:$G$501,$C$2:$C$501,C26),"PR",""))</f>
        <v/>
      </c>
      <c r="I26" s="6"/>
    </row>
    <row r="27" customFormat="false" ht="15" hidden="false" customHeight="false" outlineLevel="0" collapsed="false">
      <c r="A27" s="9"/>
      <c r="B27" s="6"/>
      <c r="C27" s="6"/>
      <c r="D27" s="6"/>
      <c r="E27" s="6"/>
      <c r="F27" s="6"/>
      <c r="G27" s="11" t="str">
        <f aca="false">IF(OR(E27="",F27=""),"",ROUND(E27*(1+F27/30),1))</f>
        <v/>
      </c>
      <c r="H27" s="18" t="str">
        <f aca="false">IF(G27="","",IF(G27&gt;=_xlfn.MAXIFS($G$2:$G$501,$C$2:$C$501,C27),"PR",""))</f>
        <v/>
      </c>
      <c r="I27" s="6"/>
    </row>
    <row r="28" customFormat="false" ht="15" hidden="false" customHeight="false" outlineLevel="0" collapsed="false">
      <c r="A28" s="9"/>
      <c r="B28" s="6"/>
      <c r="C28" s="6"/>
      <c r="D28" s="6"/>
      <c r="E28" s="6"/>
      <c r="F28" s="6"/>
      <c r="G28" s="11" t="str">
        <f aca="false">IF(OR(E28="",F28=""),"",ROUND(E28*(1+F28/30),1))</f>
        <v/>
      </c>
      <c r="H28" s="18" t="str">
        <f aca="false">IF(G28="","",IF(G28&gt;=_xlfn.MAXIFS($G$2:$G$501,$C$2:$C$501,C28),"PR",""))</f>
        <v/>
      </c>
      <c r="I28" s="6"/>
    </row>
    <row r="29" customFormat="false" ht="15" hidden="false" customHeight="false" outlineLevel="0" collapsed="false">
      <c r="A29" s="9"/>
      <c r="B29" s="6"/>
      <c r="C29" s="6"/>
      <c r="D29" s="6"/>
      <c r="E29" s="6"/>
      <c r="F29" s="6"/>
      <c r="G29" s="11" t="str">
        <f aca="false">IF(OR(E29="",F29=""),"",ROUND(E29*(1+F29/30),1))</f>
        <v/>
      </c>
      <c r="H29" s="18" t="str">
        <f aca="false">IF(G29="","",IF(G29&gt;=_xlfn.MAXIFS($G$2:$G$501,$C$2:$C$501,C29),"PR",""))</f>
        <v/>
      </c>
      <c r="I29" s="6"/>
    </row>
    <row r="30" customFormat="false" ht="15" hidden="false" customHeight="false" outlineLevel="0" collapsed="false">
      <c r="A30" s="9"/>
      <c r="B30" s="6"/>
      <c r="C30" s="6"/>
      <c r="D30" s="6"/>
      <c r="E30" s="6"/>
      <c r="F30" s="6"/>
      <c r="G30" s="11" t="str">
        <f aca="false">IF(OR(E30="",F30=""),"",ROUND(E30*(1+F30/30),1))</f>
        <v/>
      </c>
      <c r="H30" s="18" t="str">
        <f aca="false">IF(G30="","",IF(G30&gt;=_xlfn.MAXIFS($G$2:$G$501,$C$2:$C$501,C30),"PR",""))</f>
        <v/>
      </c>
      <c r="I30" s="6"/>
    </row>
    <row r="31" customFormat="false" ht="15" hidden="false" customHeight="false" outlineLevel="0" collapsed="false">
      <c r="A31" s="9"/>
      <c r="B31" s="6"/>
      <c r="C31" s="6"/>
      <c r="D31" s="6"/>
      <c r="E31" s="6"/>
      <c r="F31" s="6"/>
      <c r="G31" s="11" t="str">
        <f aca="false">IF(OR(E31="",F31=""),"",ROUND(E31*(1+F31/30),1))</f>
        <v/>
      </c>
      <c r="H31" s="18" t="str">
        <f aca="false">IF(G31="","",IF(G31&gt;=_xlfn.MAXIFS($G$2:$G$501,$C$2:$C$501,C31),"PR",""))</f>
        <v/>
      </c>
      <c r="I31" s="6"/>
    </row>
    <row r="32" customFormat="false" ht="15" hidden="false" customHeight="false" outlineLevel="0" collapsed="false">
      <c r="A32" s="9"/>
      <c r="B32" s="6"/>
      <c r="C32" s="6"/>
      <c r="D32" s="6"/>
      <c r="E32" s="6"/>
      <c r="F32" s="6"/>
      <c r="G32" s="11" t="str">
        <f aca="false">IF(OR(E32="",F32=""),"",ROUND(E32*(1+F32/30),1))</f>
        <v/>
      </c>
      <c r="H32" s="18" t="str">
        <f aca="false">IF(G32="","",IF(G32&gt;=_xlfn.MAXIFS($G$2:$G$501,$C$2:$C$501,C32),"PR",""))</f>
        <v/>
      </c>
      <c r="I32" s="6"/>
    </row>
    <row r="33" customFormat="false" ht="15" hidden="false" customHeight="false" outlineLevel="0" collapsed="false">
      <c r="A33" s="9"/>
      <c r="B33" s="6"/>
      <c r="C33" s="6"/>
      <c r="D33" s="6"/>
      <c r="E33" s="6"/>
      <c r="F33" s="6"/>
      <c r="G33" s="11" t="str">
        <f aca="false">IF(OR(E33="",F33=""),"",ROUND(E33*(1+F33/30),1))</f>
        <v/>
      </c>
      <c r="H33" s="18" t="str">
        <f aca="false">IF(G33="","",IF(G33&gt;=_xlfn.MAXIFS($G$2:$G$501,$C$2:$C$501,C33),"PR",""))</f>
        <v/>
      </c>
      <c r="I33" s="6"/>
    </row>
    <row r="34" customFormat="false" ht="15" hidden="false" customHeight="false" outlineLevel="0" collapsed="false">
      <c r="A34" s="9"/>
      <c r="B34" s="6"/>
      <c r="C34" s="6"/>
      <c r="D34" s="6"/>
      <c r="E34" s="6"/>
      <c r="F34" s="6"/>
      <c r="G34" s="11" t="str">
        <f aca="false">IF(OR(E34="",F34=""),"",ROUND(E34*(1+F34/30),1))</f>
        <v/>
      </c>
      <c r="H34" s="18" t="str">
        <f aca="false">IF(G34="","",IF(G34&gt;=_xlfn.MAXIFS($G$2:$G$501,$C$2:$C$501,C34),"PR",""))</f>
        <v/>
      </c>
      <c r="I34" s="6"/>
    </row>
    <row r="35" customFormat="false" ht="15" hidden="false" customHeight="false" outlineLevel="0" collapsed="false">
      <c r="A35" s="9"/>
      <c r="B35" s="6"/>
      <c r="C35" s="6"/>
      <c r="D35" s="6"/>
      <c r="E35" s="6"/>
      <c r="F35" s="6"/>
      <c r="G35" s="11" t="str">
        <f aca="false">IF(OR(E35="",F35=""),"",ROUND(E35*(1+F35/30),1))</f>
        <v/>
      </c>
      <c r="H35" s="18" t="str">
        <f aca="false">IF(G35="","",IF(G35&gt;=_xlfn.MAXIFS($G$2:$G$501,$C$2:$C$501,C35),"PR",""))</f>
        <v/>
      </c>
      <c r="I35" s="6"/>
    </row>
    <row r="36" customFormat="false" ht="15" hidden="false" customHeight="false" outlineLevel="0" collapsed="false">
      <c r="A36" s="9"/>
      <c r="B36" s="6"/>
      <c r="C36" s="6"/>
      <c r="D36" s="6"/>
      <c r="E36" s="6"/>
      <c r="F36" s="6"/>
      <c r="G36" s="11" t="str">
        <f aca="false">IF(OR(E36="",F36=""),"",ROUND(E36*(1+F36/30),1))</f>
        <v/>
      </c>
      <c r="H36" s="18" t="str">
        <f aca="false">IF(G36="","",IF(G36&gt;=_xlfn.MAXIFS($G$2:$G$501,$C$2:$C$501,C36),"PR",""))</f>
        <v/>
      </c>
      <c r="I36" s="6"/>
    </row>
    <row r="37" customFormat="false" ht="15" hidden="false" customHeight="false" outlineLevel="0" collapsed="false">
      <c r="A37" s="9"/>
      <c r="B37" s="6"/>
      <c r="C37" s="6"/>
      <c r="D37" s="6"/>
      <c r="E37" s="6"/>
      <c r="F37" s="6"/>
      <c r="G37" s="11" t="str">
        <f aca="false">IF(OR(E37="",F37=""),"",ROUND(E37*(1+F37/30),1))</f>
        <v/>
      </c>
      <c r="H37" s="18" t="str">
        <f aca="false">IF(G37="","",IF(G37&gt;=_xlfn.MAXIFS($G$2:$G$501,$C$2:$C$501,C37),"PR",""))</f>
        <v/>
      </c>
      <c r="I37" s="6"/>
    </row>
    <row r="38" customFormat="false" ht="15" hidden="false" customHeight="false" outlineLevel="0" collapsed="false">
      <c r="A38" s="9"/>
      <c r="B38" s="6"/>
      <c r="C38" s="6"/>
      <c r="D38" s="6"/>
      <c r="E38" s="6"/>
      <c r="F38" s="6"/>
      <c r="G38" s="11" t="str">
        <f aca="false">IF(OR(E38="",F38=""),"",ROUND(E38*(1+F38/30),1))</f>
        <v/>
      </c>
      <c r="H38" s="18" t="str">
        <f aca="false">IF(G38="","",IF(G38&gt;=_xlfn.MAXIFS($G$2:$G$501,$C$2:$C$501,C38),"PR",""))</f>
        <v/>
      </c>
      <c r="I38" s="6"/>
    </row>
    <row r="39" customFormat="false" ht="15" hidden="false" customHeight="false" outlineLevel="0" collapsed="false">
      <c r="A39" s="9"/>
      <c r="B39" s="6"/>
      <c r="C39" s="6"/>
      <c r="D39" s="6"/>
      <c r="E39" s="6"/>
      <c r="F39" s="6"/>
      <c r="G39" s="11" t="str">
        <f aca="false">IF(OR(E39="",F39=""),"",ROUND(E39*(1+F39/30),1))</f>
        <v/>
      </c>
      <c r="H39" s="18" t="str">
        <f aca="false">IF(G39="","",IF(G39&gt;=_xlfn.MAXIFS($G$2:$G$501,$C$2:$C$501,C39),"PR",""))</f>
        <v/>
      </c>
      <c r="I39" s="6"/>
    </row>
    <row r="40" customFormat="false" ht="15" hidden="false" customHeight="false" outlineLevel="0" collapsed="false">
      <c r="A40" s="9"/>
      <c r="B40" s="6"/>
      <c r="C40" s="6"/>
      <c r="D40" s="6"/>
      <c r="E40" s="6"/>
      <c r="F40" s="6"/>
      <c r="G40" s="11" t="str">
        <f aca="false">IF(OR(E40="",F40=""),"",ROUND(E40*(1+F40/30),1))</f>
        <v/>
      </c>
      <c r="H40" s="18" t="str">
        <f aca="false">IF(G40="","",IF(G40&gt;=_xlfn.MAXIFS($G$2:$G$501,$C$2:$C$501,C40),"PR",""))</f>
        <v/>
      </c>
      <c r="I40" s="6"/>
    </row>
    <row r="41" customFormat="false" ht="15" hidden="false" customHeight="false" outlineLevel="0" collapsed="false">
      <c r="A41" s="9"/>
      <c r="B41" s="6"/>
      <c r="C41" s="6"/>
      <c r="D41" s="6"/>
      <c r="E41" s="6"/>
      <c r="F41" s="6"/>
      <c r="G41" s="11" t="str">
        <f aca="false">IF(OR(E41="",F41=""),"",ROUND(E41*(1+F41/30),1))</f>
        <v/>
      </c>
      <c r="H41" s="18" t="str">
        <f aca="false">IF(G41="","",IF(G41&gt;=_xlfn.MAXIFS($G$2:$G$501,$C$2:$C$501,C41),"PR",""))</f>
        <v/>
      </c>
      <c r="I41" s="6"/>
    </row>
    <row r="42" customFormat="false" ht="15" hidden="false" customHeight="false" outlineLevel="0" collapsed="false">
      <c r="A42" s="9"/>
      <c r="B42" s="6"/>
      <c r="C42" s="6"/>
      <c r="D42" s="6"/>
      <c r="E42" s="6"/>
      <c r="F42" s="6"/>
      <c r="G42" s="11" t="str">
        <f aca="false">IF(OR(E42="",F42=""),"",ROUND(E42*(1+F42/30),1))</f>
        <v/>
      </c>
      <c r="H42" s="18" t="str">
        <f aca="false">IF(G42="","",IF(G42&gt;=_xlfn.MAXIFS($G$2:$G$501,$C$2:$C$501,C42),"PR",""))</f>
        <v/>
      </c>
      <c r="I42" s="6"/>
    </row>
    <row r="43" customFormat="false" ht="15" hidden="false" customHeight="false" outlineLevel="0" collapsed="false">
      <c r="A43" s="9"/>
      <c r="B43" s="6"/>
      <c r="C43" s="6"/>
      <c r="D43" s="6"/>
      <c r="E43" s="6"/>
      <c r="F43" s="6"/>
      <c r="G43" s="11" t="str">
        <f aca="false">IF(OR(E43="",F43=""),"",ROUND(E43*(1+F43/30),1))</f>
        <v/>
      </c>
      <c r="H43" s="18" t="str">
        <f aca="false">IF(G43="","",IF(G43&gt;=_xlfn.MAXIFS($G$2:$G$501,$C$2:$C$501,C43),"PR",""))</f>
        <v/>
      </c>
      <c r="I43" s="6"/>
    </row>
    <row r="44" customFormat="false" ht="15" hidden="false" customHeight="false" outlineLevel="0" collapsed="false">
      <c r="A44" s="9"/>
      <c r="B44" s="6"/>
      <c r="C44" s="6"/>
      <c r="D44" s="6"/>
      <c r="E44" s="6"/>
      <c r="F44" s="6"/>
      <c r="G44" s="11" t="str">
        <f aca="false">IF(OR(E44="",F44=""),"",ROUND(E44*(1+F44/30),1))</f>
        <v/>
      </c>
      <c r="H44" s="18" t="str">
        <f aca="false">IF(G44="","",IF(G44&gt;=_xlfn.MAXIFS($G$2:$G$501,$C$2:$C$501,C44),"PR",""))</f>
        <v/>
      </c>
      <c r="I44" s="6"/>
    </row>
    <row r="45" customFormat="false" ht="15" hidden="false" customHeight="false" outlineLevel="0" collapsed="false">
      <c r="A45" s="9"/>
      <c r="B45" s="6"/>
      <c r="C45" s="6"/>
      <c r="D45" s="6"/>
      <c r="E45" s="6"/>
      <c r="F45" s="6"/>
      <c r="G45" s="11" t="str">
        <f aca="false">IF(OR(E45="",F45=""),"",ROUND(E45*(1+F45/30),1))</f>
        <v/>
      </c>
      <c r="H45" s="18" t="str">
        <f aca="false">IF(G45="","",IF(G45&gt;=_xlfn.MAXIFS($G$2:$G$501,$C$2:$C$501,C45),"PR",""))</f>
        <v/>
      </c>
      <c r="I45" s="6"/>
    </row>
    <row r="46" customFormat="false" ht="15" hidden="false" customHeight="false" outlineLevel="0" collapsed="false">
      <c r="A46" s="9"/>
      <c r="B46" s="6"/>
      <c r="C46" s="6"/>
      <c r="D46" s="6"/>
      <c r="E46" s="6"/>
      <c r="F46" s="6"/>
      <c r="G46" s="11" t="str">
        <f aca="false">IF(OR(E46="",F46=""),"",ROUND(E46*(1+F46/30),1))</f>
        <v/>
      </c>
      <c r="H46" s="18" t="str">
        <f aca="false">IF(G46="","",IF(G46&gt;=_xlfn.MAXIFS($G$2:$G$501,$C$2:$C$501,C46),"PR",""))</f>
        <v/>
      </c>
      <c r="I46" s="6"/>
    </row>
    <row r="47" customFormat="false" ht="15" hidden="false" customHeight="false" outlineLevel="0" collapsed="false">
      <c r="A47" s="9"/>
      <c r="B47" s="6"/>
      <c r="C47" s="6"/>
      <c r="D47" s="6"/>
      <c r="E47" s="6"/>
      <c r="F47" s="6"/>
      <c r="G47" s="11" t="str">
        <f aca="false">IF(OR(E47="",F47=""),"",ROUND(E47*(1+F47/30),1))</f>
        <v/>
      </c>
      <c r="H47" s="18" t="str">
        <f aca="false">IF(G47="","",IF(G47&gt;=_xlfn.MAXIFS($G$2:$G$501,$C$2:$C$501,C47),"PR",""))</f>
        <v/>
      </c>
      <c r="I47" s="6"/>
    </row>
    <row r="48" customFormat="false" ht="15" hidden="false" customHeight="false" outlineLevel="0" collapsed="false">
      <c r="A48" s="9"/>
      <c r="B48" s="6"/>
      <c r="C48" s="6"/>
      <c r="D48" s="6"/>
      <c r="E48" s="6"/>
      <c r="F48" s="6"/>
      <c r="G48" s="11" t="str">
        <f aca="false">IF(OR(E48="",F48=""),"",ROUND(E48*(1+F48/30),1))</f>
        <v/>
      </c>
      <c r="H48" s="18" t="str">
        <f aca="false">IF(G48="","",IF(G48&gt;=_xlfn.MAXIFS($G$2:$G$501,$C$2:$C$501,C48),"PR",""))</f>
        <v/>
      </c>
      <c r="I48" s="6"/>
    </row>
    <row r="49" customFormat="false" ht="15" hidden="false" customHeight="false" outlineLevel="0" collapsed="false">
      <c r="A49" s="9"/>
      <c r="B49" s="6"/>
      <c r="C49" s="6"/>
      <c r="D49" s="6"/>
      <c r="E49" s="6"/>
      <c r="F49" s="6"/>
      <c r="G49" s="11" t="str">
        <f aca="false">IF(OR(E49="",F49=""),"",ROUND(E49*(1+F49/30),1))</f>
        <v/>
      </c>
      <c r="H49" s="18" t="str">
        <f aca="false">IF(G49="","",IF(G49&gt;=_xlfn.MAXIFS($G$2:$G$501,$C$2:$C$501,C49),"PR",""))</f>
        <v/>
      </c>
      <c r="I49" s="6"/>
    </row>
    <row r="50" customFormat="false" ht="15" hidden="false" customHeight="false" outlineLevel="0" collapsed="false">
      <c r="A50" s="9"/>
      <c r="B50" s="6"/>
      <c r="C50" s="6"/>
      <c r="D50" s="6"/>
      <c r="E50" s="6"/>
      <c r="F50" s="6"/>
      <c r="G50" s="11" t="str">
        <f aca="false">IF(OR(E50="",F50=""),"",ROUND(E50*(1+F50/30),1))</f>
        <v/>
      </c>
      <c r="H50" s="18" t="str">
        <f aca="false">IF(G50="","",IF(G50&gt;=_xlfn.MAXIFS($G$2:$G$501,$C$2:$C$501,C50),"PR",""))</f>
        <v/>
      </c>
      <c r="I50" s="6"/>
    </row>
    <row r="51" customFormat="false" ht="15" hidden="false" customHeight="false" outlineLevel="0" collapsed="false">
      <c r="A51" s="9"/>
      <c r="B51" s="6"/>
      <c r="C51" s="6"/>
      <c r="D51" s="6"/>
      <c r="E51" s="6"/>
      <c r="F51" s="6"/>
      <c r="G51" s="11" t="str">
        <f aca="false">IF(OR(E51="",F51=""),"",ROUND(E51*(1+F51/30),1))</f>
        <v/>
      </c>
      <c r="H51" s="18" t="str">
        <f aca="false">IF(G51="","",IF(G51&gt;=_xlfn.MAXIFS($G$2:$G$501,$C$2:$C$501,C51),"PR",""))</f>
        <v/>
      </c>
      <c r="I51" s="6"/>
    </row>
    <row r="52" customFormat="false" ht="15" hidden="false" customHeight="false" outlineLevel="0" collapsed="false">
      <c r="A52" s="9"/>
      <c r="B52" s="6"/>
      <c r="C52" s="6"/>
      <c r="D52" s="6"/>
      <c r="E52" s="6"/>
      <c r="F52" s="6"/>
      <c r="G52" s="11" t="str">
        <f aca="false">IF(OR(E52="",F52=""),"",ROUND(E52*(1+F52/30),1))</f>
        <v/>
      </c>
      <c r="H52" s="18" t="str">
        <f aca="false">IF(G52="","",IF(G52&gt;=_xlfn.MAXIFS($G$2:$G$501,$C$2:$C$501,C52),"PR",""))</f>
        <v/>
      </c>
      <c r="I52" s="6"/>
    </row>
    <row r="53" customFormat="false" ht="15" hidden="false" customHeight="false" outlineLevel="0" collapsed="false">
      <c r="A53" s="9"/>
      <c r="B53" s="6"/>
      <c r="C53" s="6"/>
      <c r="D53" s="6"/>
      <c r="E53" s="6"/>
      <c r="F53" s="6"/>
      <c r="G53" s="11" t="str">
        <f aca="false">IF(OR(E53="",F53=""),"",ROUND(E53*(1+F53/30),1))</f>
        <v/>
      </c>
      <c r="H53" s="18" t="str">
        <f aca="false">IF(G53="","",IF(G53&gt;=_xlfn.MAXIFS($G$2:$G$501,$C$2:$C$501,C53),"PR",""))</f>
        <v/>
      </c>
      <c r="I53" s="6"/>
    </row>
    <row r="54" customFormat="false" ht="15" hidden="false" customHeight="false" outlineLevel="0" collapsed="false">
      <c r="A54" s="9"/>
      <c r="B54" s="6"/>
      <c r="C54" s="6"/>
      <c r="D54" s="6"/>
      <c r="E54" s="6"/>
      <c r="F54" s="6"/>
      <c r="G54" s="11" t="str">
        <f aca="false">IF(OR(E54="",F54=""),"",ROUND(E54*(1+F54/30),1))</f>
        <v/>
      </c>
      <c r="H54" s="18" t="str">
        <f aca="false">IF(G54="","",IF(G54&gt;=_xlfn.MAXIFS($G$2:$G$501,$C$2:$C$501,C54),"PR",""))</f>
        <v/>
      </c>
      <c r="I54" s="6"/>
    </row>
    <row r="55" customFormat="false" ht="15" hidden="false" customHeight="false" outlineLevel="0" collapsed="false">
      <c r="A55" s="9"/>
      <c r="B55" s="6"/>
      <c r="C55" s="6"/>
      <c r="D55" s="6"/>
      <c r="E55" s="6"/>
      <c r="F55" s="6"/>
      <c r="G55" s="11" t="str">
        <f aca="false">IF(OR(E55="",F55=""),"",ROUND(E55*(1+F55/30),1))</f>
        <v/>
      </c>
      <c r="H55" s="18" t="str">
        <f aca="false">IF(G55="","",IF(G55&gt;=_xlfn.MAXIFS($G$2:$G$501,$C$2:$C$501,C55),"PR",""))</f>
        <v/>
      </c>
      <c r="I55" s="6"/>
    </row>
    <row r="56" customFormat="false" ht="15" hidden="false" customHeight="false" outlineLevel="0" collapsed="false">
      <c r="A56" s="9"/>
      <c r="B56" s="6"/>
      <c r="C56" s="6"/>
      <c r="D56" s="6"/>
      <c r="E56" s="6"/>
      <c r="F56" s="6"/>
      <c r="G56" s="11" t="str">
        <f aca="false">IF(OR(E56="",F56=""),"",ROUND(E56*(1+F56/30),1))</f>
        <v/>
      </c>
      <c r="H56" s="18" t="str">
        <f aca="false">IF(G56="","",IF(G56&gt;=_xlfn.MAXIFS($G$2:$G$501,$C$2:$C$501,C56),"PR",""))</f>
        <v/>
      </c>
      <c r="I56" s="6"/>
    </row>
    <row r="57" customFormat="false" ht="15" hidden="false" customHeight="false" outlineLevel="0" collapsed="false">
      <c r="A57" s="9"/>
      <c r="B57" s="6"/>
      <c r="C57" s="6"/>
      <c r="D57" s="6"/>
      <c r="E57" s="6"/>
      <c r="F57" s="6"/>
      <c r="G57" s="11" t="str">
        <f aca="false">IF(OR(E57="",F57=""),"",ROUND(E57*(1+F57/30),1))</f>
        <v/>
      </c>
      <c r="H57" s="18" t="str">
        <f aca="false">IF(G57="","",IF(G57&gt;=_xlfn.MAXIFS($G$2:$G$501,$C$2:$C$501,C57),"PR",""))</f>
        <v/>
      </c>
      <c r="I57" s="6"/>
    </row>
    <row r="58" customFormat="false" ht="15" hidden="false" customHeight="false" outlineLevel="0" collapsed="false">
      <c r="A58" s="9"/>
      <c r="B58" s="6"/>
      <c r="C58" s="6"/>
      <c r="D58" s="6"/>
      <c r="E58" s="6"/>
      <c r="F58" s="6"/>
      <c r="G58" s="11" t="str">
        <f aca="false">IF(OR(E58="",F58=""),"",ROUND(E58*(1+F58/30),1))</f>
        <v/>
      </c>
      <c r="H58" s="18" t="str">
        <f aca="false">IF(G58="","",IF(G58&gt;=_xlfn.MAXIFS($G$2:$G$501,$C$2:$C$501,C58),"PR",""))</f>
        <v/>
      </c>
      <c r="I58" s="6"/>
    </row>
    <row r="59" customFormat="false" ht="15" hidden="false" customHeight="false" outlineLevel="0" collapsed="false">
      <c r="A59" s="9"/>
      <c r="B59" s="6"/>
      <c r="C59" s="6"/>
      <c r="D59" s="6"/>
      <c r="E59" s="6"/>
      <c r="F59" s="6"/>
      <c r="G59" s="11" t="str">
        <f aca="false">IF(OR(E59="",F59=""),"",ROUND(E59*(1+F59/30),1))</f>
        <v/>
      </c>
      <c r="H59" s="18" t="str">
        <f aca="false">IF(G59="","",IF(G59&gt;=_xlfn.MAXIFS($G$2:$G$501,$C$2:$C$501,C59),"PR",""))</f>
        <v/>
      </c>
      <c r="I59" s="6"/>
    </row>
    <row r="60" customFormat="false" ht="15" hidden="false" customHeight="false" outlineLevel="0" collapsed="false">
      <c r="A60" s="9"/>
      <c r="B60" s="6"/>
      <c r="C60" s="6"/>
      <c r="D60" s="6"/>
      <c r="E60" s="6"/>
      <c r="F60" s="6"/>
      <c r="G60" s="11" t="str">
        <f aca="false">IF(OR(E60="",F60=""),"",ROUND(E60*(1+F60/30),1))</f>
        <v/>
      </c>
      <c r="H60" s="18" t="str">
        <f aca="false">IF(G60="","",IF(G60&gt;=_xlfn.MAXIFS($G$2:$G$501,$C$2:$C$501,C60),"PR",""))</f>
        <v/>
      </c>
      <c r="I60" s="6"/>
    </row>
    <row r="61" customFormat="false" ht="15" hidden="false" customHeight="false" outlineLevel="0" collapsed="false">
      <c r="A61" s="9"/>
      <c r="B61" s="6"/>
      <c r="C61" s="6"/>
      <c r="D61" s="6"/>
      <c r="E61" s="6"/>
      <c r="F61" s="6"/>
      <c r="G61" s="11" t="str">
        <f aca="false">IF(OR(E61="",F61=""),"",ROUND(E61*(1+F61/30),1))</f>
        <v/>
      </c>
      <c r="H61" s="18" t="str">
        <f aca="false">IF(G61="","",IF(G61&gt;=_xlfn.MAXIFS($G$2:$G$501,$C$2:$C$501,C61),"PR",""))</f>
        <v/>
      </c>
      <c r="I61" s="6"/>
    </row>
    <row r="62" customFormat="false" ht="15" hidden="false" customHeight="false" outlineLevel="0" collapsed="false">
      <c r="A62" s="9"/>
      <c r="B62" s="6"/>
      <c r="C62" s="6"/>
      <c r="D62" s="6"/>
      <c r="E62" s="6"/>
      <c r="F62" s="6"/>
      <c r="G62" s="11" t="str">
        <f aca="false">IF(OR(E62="",F62=""),"",ROUND(E62*(1+F62/30),1))</f>
        <v/>
      </c>
      <c r="H62" s="18" t="str">
        <f aca="false">IF(G62="","",IF(G62&gt;=_xlfn.MAXIFS($G$2:$G$501,$C$2:$C$501,C62),"PR",""))</f>
        <v/>
      </c>
      <c r="I62" s="6"/>
    </row>
    <row r="63" customFormat="false" ht="15" hidden="false" customHeight="false" outlineLevel="0" collapsed="false">
      <c r="A63" s="9"/>
      <c r="B63" s="6"/>
      <c r="C63" s="6"/>
      <c r="D63" s="6"/>
      <c r="E63" s="6"/>
      <c r="F63" s="6"/>
      <c r="G63" s="11" t="str">
        <f aca="false">IF(OR(E63="",F63=""),"",ROUND(E63*(1+F63/30),1))</f>
        <v/>
      </c>
      <c r="H63" s="18" t="str">
        <f aca="false">IF(G63="","",IF(G63&gt;=_xlfn.MAXIFS($G$2:$G$501,$C$2:$C$501,C63),"PR",""))</f>
        <v/>
      </c>
      <c r="I63" s="6"/>
    </row>
    <row r="64" customFormat="false" ht="15" hidden="false" customHeight="false" outlineLevel="0" collapsed="false">
      <c r="A64" s="9"/>
      <c r="B64" s="6"/>
      <c r="C64" s="6"/>
      <c r="D64" s="6"/>
      <c r="E64" s="6"/>
      <c r="F64" s="6"/>
      <c r="G64" s="11" t="str">
        <f aca="false">IF(OR(E64="",F64=""),"",ROUND(E64*(1+F64/30),1))</f>
        <v/>
      </c>
      <c r="H64" s="18" t="str">
        <f aca="false">IF(G64="","",IF(G64&gt;=_xlfn.MAXIFS($G$2:$G$501,$C$2:$C$501,C64),"PR",""))</f>
        <v/>
      </c>
      <c r="I64" s="6"/>
    </row>
    <row r="65" customFormat="false" ht="15" hidden="false" customHeight="false" outlineLevel="0" collapsed="false">
      <c r="A65" s="9"/>
      <c r="B65" s="6"/>
      <c r="C65" s="6"/>
      <c r="D65" s="6"/>
      <c r="E65" s="6"/>
      <c r="F65" s="6"/>
      <c r="G65" s="11" t="str">
        <f aca="false">IF(OR(E65="",F65=""),"",ROUND(E65*(1+F65/30),1))</f>
        <v/>
      </c>
      <c r="H65" s="18" t="str">
        <f aca="false">IF(G65="","",IF(G65&gt;=_xlfn.MAXIFS($G$2:$G$501,$C$2:$C$501,C65),"PR",""))</f>
        <v/>
      </c>
      <c r="I65" s="6"/>
    </row>
    <row r="66" customFormat="false" ht="15" hidden="false" customHeight="false" outlineLevel="0" collapsed="false">
      <c r="A66" s="9"/>
      <c r="B66" s="6"/>
      <c r="C66" s="6"/>
      <c r="D66" s="6"/>
      <c r="E66" s="6"/>
      <c r="F66" s="6"/>
      <c r="G66" s="11" t="str">
        <f aca="false">IF(OR(E66="",F66=""),"",ROUND(E66*(1+F66/30),1))</f>
        <v/>
      </c>
      <c r="H66" s="18" t="str">
        <f aca="false">IF(G66="","",IF(G66&gt;=_xlfn.MAXIFS($G$2:$G$501,$C$2:$C$501,C66),"PR",""))</f>
        <v/>
      </c>
      <c r="I66" s="6"/>
    </row>
    <row r="67" customFormat="false" ht="15" hidden="false" customHeight="false" outlineLevel="0" collapsed="false">
      <c r="A67" s="9"/>
      <c r="B67" s="6"/>
      <c r="C67" s="6"/>
      <c r="D67" s="6"/>
      <c r="E67" s="6"/>
      <c r="F67" s="6"/>
      <c r="G67" s="11" t="str">
        <f aca="false">IF(OR(E67="",F67=""),"",ROUND(E67*(1+F67/30),1))</f>
        <v/>
      </c>
      <c r="H67" s="18" t="str">
        <f aca="false">IF(G67="","",IF(G67&gt;=_xlfn.MAXIFS($G$2:$G$501,$C$2:$C$501,C67),"PR",""))</f>
        <v/>
      </c>
      <c r="I67" s="6"/>
    </row>
    <row r="68" customFormat="false" ht="15" hidden="false" customHeight="false" outlineLevel="0" collapsed="false">
      <c r="A68" s="9"/>
      <c r="B68" s="6"/>
      <c r="C68" s="6"/>
      <c r="D68" s="6"/>
      <c r="E68" s="6"/>
      <c r="F68" s="6"/>
      <c r="G68" s="11" t="str">
        <f aca="false">IF(OR(E68="",F68=""),"",ROUND(E68*(1+F68/30),1))</f>
        <v/>
      </c>
      <c r="H68" s="18" t="str">
        <f aca="false">IF(G68="","",IF(G68&gt;=_xlfn.MAXIFS($G$2:$G$501,$C$2:$C$501,C68),"PR",""))</f>
        <v/>
      </c>
      <c r="I68" s="6"/>
    </row>
    <row r="69" customFormat="false" ht="15" hidden="false" customHeight="false" outlineLevel="0" collapsed="false">
      <c r="A69" s="9"/>
      <c r="B69" s="6"/>
      <c r="C69" s="6"/>
      <c r="D69" s="6"/>
      <c r="E69" s="6"/>
      <c r="F69" s="6"/>
      <c r="G69" s="11" t="str">
        <f aca="false">IF(OR(E69="",F69=""),"",ROUND(E69*(1+F69/30),1))</f>
        <v/>
      </c>
      <c r="H69" s="18" t="str">
        <f aca="false">IF(G69="","",IF(G69&gt;=_xlfn.MAXIFS($G$2:$G$501,$C$2:$C$501,C69),"PR",""))</f>
        <v/>
      </c>
      <c r="I69" s="6"/>
    </row>
    <row r="70" customFormat="false" ht="15" hidden="false" customHeight="false" outlineLevel="0" collapsed="false">
      <c r="A70" s="9"/>
      <c r="B70" s="6"/>
      <c r="C70" s="6"/>
      <c r="D70" s="6"/>
      <c r="E70" s="6"/>
      <c r="F70" s="6"/>
      <c r="G70" s="11" t="str">
        <f aca="false">IF(OR(E70="",F70=""),"",ROUND(E70*(1+F70/30),1))</f>
        <v/>
      </c>
      <c r="H70" s="18" t="str">
        <f aca="false">IF(G70="","",IF(G70&gt;=_xlfn.MAXIFS($G$2:$G$501,$C$2:$C$501,C70),"PR",""))</f>
        <v/>
      </c>
      <c r="I70" s="6"/>
    </row>
    <row r="71" customFormat="false" ht="15" hidden="false" customHeight="false" outlineLevel="0" collapsed="false">
      <c r="A71" s="9"/>
      <c r="B71" s="6"/>
      <c r="C71" s="6"/>
      <c r="D71" s="6"/>
      <c r="E71" s="6"/>
      <c r="F71" s="6"/>
      <c r="G71" s="11" t="str">
        <f aca="false">IF(OR(E71="",F71=""),"",ROUND(E71*(1+F71/30),1))</f>
        <v/>
      </c>
      <c r="H71" s="18" t="str">
        <f aca="false">IF(G71="","",IF(G71&gt;=_xlfn.MAXIFS($G$2:$G$501,$C$2:$C$501,C71),"PR",""))</f>
        <v/>
      </c>
      <c r="I71" s="6"/>
    </row>
    <row r="72" customFormat="false" ht="15" hidden="false" customHeight="false" outlineLevel="0" collapsed="false">
      <c r="A72" s="9"/>
      <c r="B72" s="6"/>
      <c r="C72" s="6"/>
      <c r="D72" s="6"/>
      <c r="E72" s="6"/>
      <c r="F72" s="6"/>
      <c r="G72" s="11" t="str">
        <f aca="false">IF(OR(E72="",F72=""),"",ROUND(E72*(1+F72/30),1))</f>
        <v/>
      </c>
      <c r="H72" s="18" t="str">
        <f aca="false">IF(G72="","",IF(G72&gt;=_xlfn.MAXIFS($G$2:$G$501,$C$2:$C$501,C72),"PR",""))</f>
        <v/>
      </c>
      <c r="I72" s="6"/>
    </row>
    <row r="73" customFormat="false" ht="15" hidden="false" customHeight="false" outlineLevel="0" collapsed="false">
      <c r="A73" s="9"/>
      <c r="B73" s="6"/>
      <c r="C73" s="6"/>
      <c r="D73" s="6"/>
      <c r="E73" s="6"/>
      <c r="F73" s="6"/>
      <c r="G73" s="11" t="str">
        <f aca="false">IF(OR(E73="",F73=""),"",ROUND(E73*(1+F73/30),1))</f>
        <v/>
      </c>
      <c r="H73" s="18" t="str">
        <f aca="false">IF(G73="","",IF(G73&gt;=_xlfn.MAXIFS($G$2:$G$501,$C$2:$C$501,C73),"PR",""))</f>
        <v/>
      </c>
      <c r="I73" s="6"/>
    </row>
    <row r="74" customFormat="false" ht="15" hidden="false" customHeight="false" outlineLevel="0" collapsed="false">
      <c r="A74" s="9"/>
      <c r="B74" s="6"/>
      <c r="C74" s="6"/>
      <c r="D74" s="6"/>
      <c r="E74" s="6"/>
      <c r="F74" s="6"/>
      <c r="G74" s="11" t="str">
        <f aca="false">IF(OR(E74="",F74=""),"",ROUND(E74*(1+F74/30),1))</f>
        <v/>
      </c>
      <c r="H74" s="18" t="str">
        <f aca="false">IF(G74="","",IF(G74&gt;=_xlfn.MAXIFS($G$2:$G$501,$C$2:$C$501,C74),"PR",""))</f>
        <v/>
      </c>
      <c r="I74" s="6"/>
    </row>
    <row r="75" customFormat="false" ht="15" hidden="false" customHeight="false" outlineLevel="0" collapsed="false">
      <c r="A75" s="9"/>
      <c r="B75" s="6"/>
      <c r="C75" s="6"/>
      <c r="D75" s="6"/>
      <c r="E75" s="6"/>
      <c r="F75" s="6"/>
      <c r="G75" s="11" t="str">
        <f aca="false">IF(OR(E75="",F75=""),"",ROUND(E75*(1+F75/30),1))</f>
        <v/>
      </c>
      <c r="H75" s="18" t="str">
        <f aca="false">IF(G75="","",IF(G75&gt;=_xlfn.MAXIFS($G$2:$G$501,$C$2:$C$501,C75),"PR",""))</f>
        <v/>
      </c>
      <c r="I75" s="6"/>
    </row>
    <row r="76" customFormat="false" ht="15" hidden="false" customHeight="false" outlineLevel="0" collapsed="false">
      <c r="A76" s="9"/>
      <c r="B76" s="6"/>
      <c r="C76" s="6"/>
      <c r="D76" s="6"/>
      <c r="E76" s="6"/>
      <c r="F76" s="6"/>
      <c r="G76" s="11" t="str">
        <f aca="false">IF(OR(E76="",F76=""),"",ROUND(E76*(1+F76/30),1))</f>
        <v/>
      </c>
      <c r="H76" s="18" t="str">
        <f aca="false">IF(G76="","",IF(G76&gt;=_xlfn.MAXIFS($G$2:$G$501,$C$2:$C$501,C76),"PR",""))</f>
        <v/>
      </c>
      <c r="I76" s="6"/>
    </row>
    <row r="77" customFormat="false" ht="15" hidden="false" customHeight="false" outlineLevel="0" collapsed="false">
      <c r="A77" s="9"/>
      <c r="B77" s="6"/>
      <c r="C77" s="6"/>
      <c r="D77" s="6"/>
      <c r="E77" s="6"/>
      <c r="F77" s="6"/>
      <c r="G77" s="11" t="str">
        <f aca="false">IF(OR(E77="",F77=""),"",ROUND(E77*(1+F77/30),1))</f>
        <v/>
      </c>
      <c r="H77" s="18" t="str">
        <f aca="false">IF(G77="","",IF(G77&gt;=_xlfn.MAXIFS($G$2:$G$501,$C$2:$C$501,C77),"PR",""))</f>
        <v/>
      </c>
      <c r="I77" s="6"/>
    </row>
    <row r="78" customFormat="false" ht="15" hidden="false" customHeight="false" outlineLevel="0" collapsed="false">
      <c r="A78" s="9"/>
      <c r="B78" s="6"/>
      <c r="C78" s="6"/>
      <c r="D78" s="6"/>
      <c r="E78" s="6"/>
      <c r="F78" s="6"/>
      <c r="G78" s="11" t="str">
        <f aca="false">IF(OR(E78="",F78=""),"",ROUND(E78*(1+F78/30),1))</f>
        <v/>
      </c>
      <c r="H78" s="18" t="str">
        <f aca="false">IF(G78="","",IF(G78&gt;=_xlfn.MAXIFS($G$2:$G$501,$C$2:$C$501,C78),"PR",""))</f>
        <v/>
      </c>
      <c r="I78" s="6"/>
    </row>
    <row r="79" customFormat="false" ht="15" hidden="false" customHeight="false" outlineLevel="0" collapsed="false">
      <c r="A79" s="9"/>
      <c r="B79" s="6"/>
      <c r="C79" s="6"/>
      <c r="D79" s="6"/>
      <c r="E79" s="6"/>
      <c r="F79" s="6"/>
      <c r="G79" s="11" t="str">
        <f aca="false">IF(OR(E79="",F79=""),"",ROUND(E79*(1+F79/30),1))</f>
        <v/>
      </c>
      <c r="H79" s="18" t="str">
        <f aca="false">IF(G79="","",IF(G79&gt;=_xlfn.MAXIFS($G$2:$G$501,$C$2:$C$501,C79),"PR",""))</f>
        <v/>
      </c>
      <c r="I79" s="6"/>
    </row>
    <row r="80" customFormat="false" ht="15" hidden="false" customHeight="false" outlineLevel="0" collapsed="false">
      <c r="A80" s="9"/>
      <c r="B80" s="6"/>
      <c r="C80" s="6"/>
      <c r="D80" s="6"/>
      <c r="E80" s="6"/>
      <c r="F80" s="6"/>
      <c r="G80" s="11" t="str">
        <f aca="false">IF(OR(E80="",F80=""),"",ROUND(E80*(1+F80/30),1))</f>
        <v/>
      </c>
      <c r="H80" s="18" t="str">
        <f aca="false">IF(G80="","",IF(G80&gt;=_xlfn.MAXIFS($G$2:$G$501,$C$2:$C$501,C80),"PR",""))</f>
        <v/>
      </c>
      <c r="I80" s="6"/>
    </row>
    <row r="81" customFormat="false" ht="15" hidden="false" customHeight="false" outlineLevel="0" collapsed="false">
      <c r="A81" s="9"/>
      <c r="B81" s="6"/>
      <c r="C81" s="6"/>
      <c r="D81" s="6"/>
      <c r="E81" s="6"/>
      <c r="F81" s="6"/>
      <c r="G81" s="11" t="str">
        <f aca="false">IF(OR(E81="",F81=""),"",ROUND(E81*(1+F81/30),1))</f>
        <v/>
      </c>
      <c r="H81" s="18" t="str">
        <f aca="false">IF(G81="","",IF(G81&gt;=_xlfn.MAXIFS($G$2:$G$501,$C$2:$C$501,C81),"PR",""))</f>
        <v/>
      </c>
      <c r="I81" s="6"/>
    </row>
    <row r="82" customFormat="false" ht="15" hidden="false" customHeight="false" outlineLevel="0" collapsed="false">
      <c r="A82" s="9"/>
      <c r="B82" s="6"/>
      <c r="C82" s="6"/>
      <c r="D82" s="6"/>
      <c r="E82" s="6"/>
      <c r="F82" s="6"/>
      <c r="G82" s="11" t="str">
        <f aca="false">IF(OR(E82="",F82=""),"",ROUND(E82*(1+F82/30),1))</f>
        <v/>
      </c>
      <c r="H82" s="18" t="str">
        <f aca="false">IF(G82="","",IF(G82&gt;=_xlfn.MAXIFS($G$2:$G$501,$C$2:$C$501,C82),"PR",""))</f>
        <v/>
      </c>
      <c r="I82" s="6"/>
    </row>
    <row r="83" customFormat="false" ht="15" hidden="false" customHeight="false" outlineLevel="0" collapsed="false">
      <c r="A83" s="9"/>
      <c r="B83" s="6"/>
      <c r="C83" s="6"/>
      <c r="D83" s="6"/>
      <c r="E83" s="6"/>
      <c r="F83" s="6"/>
      <c r="G83" s="11" t="str">
        <f aca="false">IF(OR(E83="",F83=""),"",ROUND(E83*(1+F83/30),1))</f>
        <v/>
      </c>
      <c r="H83" s="18" t="str">
        <f aca="false">IF(G83="","",IF(G83&gt;=_xlfn.MAXIFS($G$2:$G$501,$C$2:$C$501,C83),"PR",""))</f>
        <v/>
      </c>
      <c r="I83" s="6"/>
    </row>
    <row r="84" customFormat="false" ht="15" hidden="false" customHeight="false" outlineLevel="0" collapsed="false">
      <c r="A84" s="9"/>
      <c r="B84" s="6"/>
      <c r="C84" s="6"/>
      <c r="D84" s="6"/>
      <c r="E84" s="6"/>
      <c r="F84" s="6"/>
      <c r="G84" s="11" t="str">
        <f aca="false">IF(OR(E84="",F84=""),"",ROUND(E84*(1+F84/30),1))</f>
        <v/>
      </c>
      <c r="H84" s="18" t="str">
        <f aca="false">IF(G84="","",IF(G84&gt;=_xlfn.MAXIFS($G$2:$G$501,$C$2:$C$501,C84),"PR",""))</f>
        <v/>
      </c>
      <c r="I84" s="6"/>
    </row>
    <row r="85" customFormat="false" ht="15" hidden="false" customHeight="false" outlineLevel="0" collapsed="false">
      <c r="A85" s="9"/>
      <c r="B85" s="6"/>
      <c r="C85" s="6"/>
      <c r="D85" s="6"/>
      <c r="E85" s="6"/>
      <c r="F85" s="6"/>
      <c r="G85" s="11" t="str">
        <f aca="false">IF(OR(E85="",F85=""),"",ROUND(E85*(1+F85/30),1))</f>
        <v/>
      </c>
      <c r="H85" s="18" t="str">
        <f aca="false">IF(G85="","",IF(G85&gt;=_xlfn.MAXIFS($G$2:$G$501,$C$2:$C$501,C85),"PR",""))</f>
        <v/>
      </c>
      <c r="I85" s="6"/>
    </row>
    <row r="86" customFormat="false" ht="15" hidden="false" customHeight="false" outlineLevel="0" collapsed="false">
      <c r="A86" s="9"/>
      <c r="B86" s="6"/>
      <c r="C86" s="6"/>
      <c r="D86" s="6"/>
      <c r="E86" s="6"/>
      <c r="F86" s="6"/>
      <c r="G86" s="11" t="str">
        <f aca="false">IF(OR(E86="",F86=""),"",ROUND(E86*(1+F86/30),1))</f>
        <v/>
      </c>
      <c r="H86" s="18" t="str">
        <f aca="false">IF(G86="","",IF(G86&gt;=_xlfn.MAXIFS($G$2:$G$501,$C$2:$C$501,C86),"PR",""))</f>
        <v/>
      </c>
      <c r="I86" s="6"/>
    </row>
    <row r="87" customFormat="false" ht="15" hidden="false" customHeight="false" outlineLevel="0" collapsed="false">
      <c r="A87" s="9"/>
      <c r="B87" s="6"/>
      <c r="C87" s="6"/>
      <c r="D87" s="6"/>
      <c r="E87" s="6"/>
      <c r="F87" s="6"/>
      <c r="G87" s="11" t="str">
        <f aca="false">IF(OR(E87="",F87=""),"",ROUND(E87*(1+F87/30),1))</f>
        <v/>
      </c>
      <c r="H87" s="18" t="str">
        <f aca="false">IF(G87="","",IF(G87&gt;=_xlfn.MAXIFS($G$2:$G$501,$C$2:$C$501,C87),"PR",""))</f>
        <v/>
      </c>
      <c r="I87" s="6"/>
    </row>
    <row r="88" customFormat="false" ht="15" hidden="false" customHeight="false" outlineLevel="0" collapsed="false">
      <c r="A88" s="9"/>
      <c r="B88" s="6"/>
      <c r="C88" s="6"/>
      <c r="D88" s="6"/>
      <c r="E88" s="6"/>
      <c r="F88" s="6"/>
      <c r="G88" s="11" t="str">
        <f aca="false">IF(OR(E88="",F88=""),"",ROUND(E88*(1+F88/30),1))</f>
        <v/>
      </c>
      <c r="H88" s="18" t="str">
        <f aca="false">IF(G88="","",IF(G88&gt;=_xlfn.MAXIFS($G$2:$G$501,$C$2:$C$501,C88),"PR",""))</f>
        <v/>
      </c>
      <c r="I88" s="6"/>
    </row>
    <row r="89" customFormat="false" ht="15" hidden="false" customHeight="false" outlineLevel="0" collapsed="false">
      <c r="A89" s="9"/>
      <c r="B89" s="6"/>
      <c r="C89" s="6"/>
      <c r="D89" s="6"/>
      <c r="E89" s="6"/>
      <c r="F89" s="6"/>
      <c r="G89" s="11" t="str">
        <f aca="false">IF(OR(E89="",F89=""),"",ROUND(E89*(1+F89/30),1))</f>
        <v/>
      </c>
      <c r="H89" s="18" t="str">
        <f aca="false">IF(G89="","",IF(G89&gt;=_xlfn.MAXIFS($G$2:$G$501,$C$2:$C$501,C89),"PR",""))</f>
        <v/>
      </c>
      <c r="I89" s="6"/>
    </row>
    <row r="90" customFormat="false" ht="15" hidden="false" customHeight="false" outlineLevel="0" collapsed="false">
      <c r="A90" s="9"/>
      <c r="B90" s="6"/>
      <c r="C90" s="6"/>
      <c r="D90" s="6"/>
      <c r="E90" s="6"/>
      <c r="F90" s="6"/>
      <c r="G90" s="11" t="str">
        <f aca="false">IF(OR(E90="",F90=""),"",ROUND(E90*(1+F90/30),1))</f>
        <v/>
      </c>
      <c r="H90" s="18" t="str">
        <f aca="false">IF(G90="","",IF(G90&gt;=_xlfn.MAXIFS($G$2:$G$501,$C$2:$C$501,C90),"PR",""))</f>
        <v/>
      </c>
      <c r="I90" s="6"/>
    </row>
    <row r="91" customFormat="false" ht="15" hidden="false" customHeight="false" outlineLevel="0" collapsed="false">
      <c r="A91" s="9"/>
      <c r="B91" s="6"/>
      <c r="C91" s="6"/>
      <c r="D91" s="6"/>
      <c r="E91" s="6"/>
      <c r="F91" s="6"/>
      <c r="G91" s="11" t="str">
        <f aca="false">IF(OR(E91="",F91=""),"",ROUND(E91*(1+F91/30),1))</f>
        <v/>
      </c>
      <c r="H91" s="18" t="str">
        <f aca="false">IF(G91="","",IF(G91&gt;=_xlfn.MAXIFS($G$2:$G$501,$C$2:$C$501,C91),"PR",""))</f>
        <v/>
      </c>
      <c r="I91" s="6"/>
    </row>
    <row r="92" customFormat="false" ht="15" hidden="false" customHeight="false" outlineLevel="0" collapsed="false">
      <c r="A92" s="9"/>
      <c r="B92" s="6"/>
      <c r="C92" s="6"/>
      <c r="D92" s="6"/>
      <c r="E92" s="6"/>
      <c r="F92" s="6"/>
      <c r="G92" s="11" t="str">
        <f aca="false">IF(OR(E92="",F92=""),"",ROUND(E92*(1+F92/30),1))</f>
        <v/>
      </c>
      <c r="H92" s="18" t="str">
        <f aca="false">IF(G92="","",IF(G92&gt;=_xlfn.MAXIFS($G$2:$G$501,$C$2:$C$501,C92),"PR",""))</f>
        <v/>
      </c>
      <c r="I92" s="6"/>
    </row>
    <row r="93" customFormat="false" ht="15" hidden="false" customHeight="false" outlineLevel="0" collapsed="false">
      <c r="A93" s="9"/>
      <c r="B93" s="6"/>
      <c r="C93" s="6"/>
      <c r="D93" s="6"/>
      <c r="E93" s="6"/>
      <c r="F93" s="6"/>
      <c r="G93" s="11" t="str">
        <f aca="false">IF(OR(E93="",F93=""),"",ROUND(E93*(1+F93/30),1))</f>
        <v/>
      </c>
      <c r="H93" s="18" t="str">
        <f aca="false">IF(G93="","",IF(G93&gt;=_xlfn.MAXIFS($G$2:$G$501,$C$2:$C$501,C93),"PR",""))</f>
        <v/>
      </c>
      <c r="I93" s="6"/>
    </row>
    <row r="94" customFormat="false" ht="15" hidden="false" customHeight="false" outlineLevel="0" collapsed="false">
      <c r="A94" s="9"/>
      <c r="B94" s="6"/>
      <c r="C94" s="6"/>
      <c r="D94" s="6"/>
      <c r="E94" s="6"/>
      <c r="F94" s="6"/>
      <c r="G94" s="11" t="str">
        <f aca="false">IF(OR(E94="",F94=""),"",ROUND(E94*(1+F94/30),1))</f>
        <v/>
      </c>
      <c r="H94" s="18" t="str">
        <f aca="false">IF(G94="","",IF(G94&gt;=_xlfn.MAXIFS($G$2:$G$501,$C$2:$C$501,C94),"PR",""))</f>
        <v/>
      </c>
      <c r="I94" s="6"/>
    </row>
    <row r="95" customFormat="false" ht="15" hidden="false" customHeight="false" outlineLevel="0" collapsed="false">
      <c r="A95" s="9"/>
      <c r="B95" s="6"/>
      <c r="C95" s="6"/>
      <c r="D95" s="6"/>
      <c r="E95" s="6"/>
      <c r="F95" s="6"/>
      <c r="G95" s="11" t="str">
        <f aca="false">IF(OR(E95="",F95=""),"",ROUND(E95*(1+F95/30),1))</f>
        <v/>
      </c>
      <c r="H95" s="18" t="str">
        <f aca="false">IF(G95="","",IF(G95&gt;=_xlfn.MAXIFS($G$2:$G$501,$C$2:$C$501,C95),"PR",""))</f>
        <v/>
      </c>
      <c r="I95" s="6"/>
    </row>
    <row r="96" customFormat="false" ht="15" hidden="false" customHeight="false" outlineLevel="0" collapsed="false">
      <c r="A96" s="9"/>
      <c r="B96" s="6"/>
      <c r="C96" s="6"/>
      <c r="D96" s="6"/>
      <c r="E96" s="6"/>
      <c r="F96" s="6"/>
      <c r="G96" s="11" t="str">
        <f aca="false">IF(OR(E96="",F96=""),"",ROUND(E96*(1+F96/30),1))</f>
        <v/>
      </c>
      <c r="H96" s="18" t="str">
        <f aca="false">IF(G96="","",IF(G96&gt;=_xlfn.MAXIFS($G$2:$G$501,$C$2:$C$501,C96),"PR",""))</f>
        <v/>
      </c>
      <c r="I96" s="6"/>
    </row>
    <row r="97" customFormat="false" ht="15" hidden="false" customHeight="false" outlineLevel="0" collapsed="false">
      <c r="A97" s="9"/>
      <c r="B97" s="6"/>
      <c r="C97" s="6"/>
      <c r="D97" s="6"/>
      <c r="E97" s="6"/>
      <c r="F97" s="6"/>
      <c r="G97" s="11" t="str">
        <f aca="false">IF(OR(E97="",F97=""),"",ROUND(E97*(1+F97/30),1))</f>
        <v/>
      </c>
      <c r="H97" s="18" t="str">
        <f aca="false">IF(G97="","",IF(G97&gt;=_xlfn.MAXIFS($G$2:$G$501,$C$2:$C$501,C97),"PR",""))</f>
        <v/>
      </c>
      <c r="I97" s="6"/>
    </row>
    <row r="98" customFormat="false" ht="15" hidden="false" customHeight="false" outlineLevel="0" collapsed="false">
      <c r="A98" s="9"/>
      <c r="B98" s="6"/>
      <c r="C98" s="6"/>
      <c r="D98" s="6"/>
      <c r="E98" s="6"/>
      <c r="F98" s="6"/>
      <c r="G98" s="11" t="str">
        <f aca="false">IF(OR(E98="",F98=""),"",ROUND(E98*(1+F98/30),1))</f>
        <v/>
      </c>
      <c r="H98" s="18" t="str">
        <f aca="false">IF(G98="","",IF(G98&gt;=_xlfn.MAXIFS($G$2:$G$501,$C$2:$C$501,C98),"PR",""))</f>
        <v/>
      </c>
      <c r="I98" s="6"/>
    </row>
    <row r="99" customFormat="false" ht="15" hidden="false" customHeight="false" outlineLevel="0" collapsed="false">
      <c r="A99" s="9"/>
      <c r="B99" s="6"/>
      <c r="C99" s="6"/>
      <c r="D99" s="6"/>
      <c r="E99" s="6"/>
      <c r="F99" s="6"/>
      <c r="G99" s="11" t="str">
        <f aca="false">IF(OR(E99="",F99=""),"",ROUND(E99*(1+F99/30),1))</f>
        <v/>
      </c>
      <c r="H99" s="18" t="str">
        <f aca="false">IF(G99="","",IF(G99&gt;=_xlfn.MAXIFS($G$2:$G$501,$C$2:$C$501,C99),"PR",""))</f>
        <v/>
      </c>
      <c r="I99" s="6"/>
    </row>
    <row r="100" customFormat="false" ht="15" hidden="false" customHeight="false" outlineLevel="0" collapsed="false">
      <c r="A100" s="9"/>
      <c r="B100" s="6"/>
      <c r="C100" s="6"/>
      <c r="D100" s="6"/>
      <c r="E100" s="6"/>
      <c r="F100" s="6"/>
      <c r="G100" s="11" t="str">
        <f aca="false">IF(OR(E100="",F100=""),"",ROUND(E100*(1+F100/30),1))</f>
        <v/>
      </c>
      <c r="H100" s="18" t="str">
        <f aca="false">IF(G100="","",IF(G100&gt;=_xlfn.MAXIFS($G$2:$G$501,$C$2:$C$501,C100),"PR",""))</f>
        <v/>
      </c>
      <c r="I100" s="6"/>
    </row>
    <row r="101" customFormat="false" ht="15" hidden="false" customHeight="false" outlineLevel="0" collapsed="false">
      <c r="A101" s="9"/>
      <c r="B101" s="6"/>
      <c r="C101" s="6"/>
      <c r="D101" s="6"/>
      <c r="E101" s="6"/>
      <c r="F101" s="6"/>
      <c r="G101" s="11" t="str">
        <f aca="false">IF(OR(E101="",F101=""),"",ROUND(E101*(1+F101/30),1))</f>
        <v/>
      </c>
      <c r="H101" s="18" t="str">
        <f aca="false">IF(G101="","",IF(G101&gt;=_xlfn.MAXIFS($G$2:$G$501,$C$2:$C$501,C101),"PR",""))</f>
        <v/>
      </c>
      <c r="I101" s="6"/>
    </row>
    <row r="102" customFormat="false" ht="15" hidden="false" customHeight="false" outlineLevel="0" collapsed="false">
      <c r="A102" s="9"/>
      <c r="B102" s="6"/>
      <c r="C102" s="6"/>
      <c r="D102" s="6"/>
      <c r="E102" s="6"/>
      <c r="F102" s="6"/>
      <c r="G102" s="11" t="str">
        <f aca="false">IF(OR(E102="",F102=""),"",ROUND(E102*(1+F102/30),1))</f>
        <v/>
      </c>
      <c r="H102" s="18" t="str">
        <f aca="false">IF(G102="","",IF(G102&gt;=_xlfn.MAXIFS($G$2:$G$501,$C$2:$C$501,C102),"PR",""))</f>
        <v/>
      </c>
      <c r="I102" s="6"/>
    </row>
    <row r="103" customFormat="false" ht="15" hidden="false" customHeight="false" outlineLevel="0" collapsed="false">
      <c r="A103" s="9"/>
      <c r="B103" s="6"/>
      <c r="C103" s="6"/>
      <c r="D103" s="6"/>
      <c r="E103" s="6"/>
      <c r="F103" s="6"/>
      <c r="G103" s="11" t="str">
        <f aca="false">IF(OR(E103="",F103=""),"",ROUND(E103*(1+F103/30),1))</f>
        <v/>
      </c>
      <c r="H103" s="18" t="str">
        <f aca="false">IF(G103="","",IF(G103&gt;=_xlfn.MAXIFS($G$2:$G$501,$C$2:$C$501,C103),"PR",""))</f>
        <v/>
      </c>
      <c r="I103" s="6"/>
    </row>
    <row r="104" customFormat="false" ht="15" hidden="false" customHeight="false" outlineLevel="0" collapsed="false">
      <c r="A104" s="9"/>
      <c r="B104" s="6"/>
      <c r="C104" s="6"/>
      <c r="D104" s="6"/>
      <c r="E104" s="6"/>
      <c r="F104" s="6"/>
      <c r="G104" s="11" t="str">
        <f aca="false">IF(OR(E104="",F104=""),"",ROUND(E104*(1+F104/30),1))</f>
        <v/>
      </c>
      <c r="H104" s="18" t="str">
        <f aca="false">IF(G104="","",IF(G104&gt;=_xlfn.MAXIFS($G$2:$G$501,$C$2:$C$501,C104),"PR",""))</f>
        <v/>
      </c>
      <c r="I104" s="6"/>
    </row>
    <row r="105" customFormat="false" ht="15" hidden="false" customHeight="false" outlineLevel="0" collapsed="false">
      <c r="A105" s="9"/>
      <c r="B105" s="6"/>
      <c r="C105" s="6"/>
      <c r="D105" s="6"/>
      <c r="E105" s="6"/>
      <c r="F105" s="6"/>
      <c r="G105" s="11" t="str">
        <f aca="false">IF(OR(E105="",F105=""),"",ROUND(E105*(1+F105/30),1))</f>
        <v/>
      </c>
      <c r="H105" s="18" t="str">
        <f aca="false">IF(G105="","",IF(G105&gt;=_xlfn.MAXIFS($G$2:$G$501,$C$2:$C$501,C105),"PR",""))</f>
        <v/>
      </c>
      <c r="I105" s="6"/>
    </row>
    <row r="106" customFormat="false" ht="15" hidden="false" customHeight="false" outlineLevel="0" collapsed="false">
      <c r="A106" s="9"/>
      <c r="B106" s="6"/>
      <c r="C106" s="6"/>
      <c r="D106" s="6"/>
      <c r="E106" s="6"/>
      <c r="F106" s="6"/>
      <c r="G106" s="11" t="str">
        <f aca="false">IF(OR(E106="",F106=""),"",ROUND(E106*(1+F106/30),1))</f>
        <v/>
      </c>
      <c r="H106" s="18" t="str">
        <f aca="false">IF(G106="","",IF(G106&gt;=_xlfn.MAXIFS($G$2:$G$501,$C$2:$C$501,C106),"PR",""))</f>
        <v/>
      </c>
      <c r="I106" s="6"/>
    </row>
    <row r="107" customFormat="false" ht="15" hidden="false" customHeight="false" outlineLevel="0" collapsed="false">
      <c r="A107" s="9"/>
      <c r="B107" s="6"/>
      <c r="C107" s="6"/>
      <c r="D107" s="6"/>
      <c r="E107" s="6"/>
      <c r="F107" s="6"/>
      <c r="G107" s="11" t="str">
        <f aca="false">IF(OR(E107="",F107=""),"",ROUND(E107*(1+F107/30),1))</f>
        <v/>
      </c>
      <c r="H107" s="18" t="str">
        <f aca="false">IF(G107="","",IF(G107&gt;=_xlfn.MAXIFS($G$2:$G$501,$C$2:$C$501,C107),"PR",""))</f>
        <v/>
      </c>
      <c r="I107" s="6"/>
    </row>
    <row r="108" customFormat="false" ht="15" hidden="false" customHeight="false" outlineLevel="0" collapsed="false">
      <c r="A108" s="9"/>
      <c r="B108" s="6"/>
      <c r="C108" s="6"/>
      <c r="D108" s="6"/>
      <c r="E108" s="6"/>
      <c r="F108" s="6"/>
      <c r="G108" s="11" t="str">
        <f aca="false">IF(OR(E108="",F108=""),"",ROUND(E108*(1+F108/30),1))</f>
        <v/>
      </c>
      <c r="H108" s="18" t="str">
        <f aca="false">IF(G108="","",IF(G108&gt;=_xlfn.MAXIFS($G$2:$G$501,$C$2:$C$501,C108),"PR",""))</f>
        <v/>
      </c>
      <c r="I108" s="6"/>
    </row>
    <row r="109" customFormat="false" ht="15" hidden="false" customHeight="false" outlineLevel="0" collapsed="false">
      <c r="A109" s="9"/>
      <c r="B109" s="6"/>
      <c r="C109" s="6"/>
      <c r="D109" s="6"/>
      <c r="E109" s="6"/>
      <c r="F109" s="6"/>
      <c r="G109" s="11" t="str">
        <f aca="false">IF(OR(E109="",F109=""),"",ROUND(E109*(1+F109/30),1))</f>
        <v/>
      </c>
      <c r="H109" s="18" t="str">
        <f aca="false">IF(G109="","",IF(G109&gt;=_xlfn.MAXIFS($G$2:$G$501,$C$2:$C$501,C109),"PR",""))</f>
        <v/>
      </c>
      <c r="I109" s="6"/>
    </row>
    <row r="110" customFormat="false" ht="15" hidden="false" customHeight="false" outlineLevel="0" collapsed="false">
      <c r="A110" s="9"/>
      <c r="B110" s="6"/>
      <c r="C110" s="6"/>
      <c r="D110" s="6"/>
      <c r="E110" s="6"/>
      <c r="F110" s="6"/>
      <c r="G110" s="11" t="str">
        <f aca="false">IF(OR(E110="",F110=""),"",ROUND(E110*(1+F110/30),1))</f>
        <v/>
      </c>
      <c r="H110" s="18" t="str">
        <f aca="false">IF(G110="","",IF(G110&gt;=_xlfn.MAXIFS($G$2:$G$501,$C$2:$C$501,C110),"PR",""))</f>
        <v/>
      </c>
      <c r="I110" s="6"/>
    </row>
    <row r="111" customFormat="false" ht="15" hidden="false" customHeight="false" outlineLevel="0" collapsed="false">
      <c r="A111" s="9"/>
      <c r="B111" s="6"/>
      <c r="C111" s="6"/>
      <c r="D111" s="6"/>
      <c r="E111" s="6"/>
      <c r="F111" s="6"/>
      <c r="G111" s="11" t="str">
        <f aca="false">IF(OR(E111="",F111=""),"",ROUND(E111*(1+F111/30),1))</f>
        <v/>
      </c>
      <c r="H111" s="18" t="str">
        <f aca="false">IF(G111="","",IF(G111&gt;=_xlfn.MAXIFS($G$2:$G$501,$C$2:$C$501,C111),"PR",""))</f>
        <v/>
      </c>
      <c r="I111" s="6"/>
    </row>
    <row r="112" customFormat="false" ht="15" hidden="false" customHeight="false" outlineLevel="0" collapsed="false">
      <c r="A112" s="9"/>
      <c r="B112" s="6"/>
      <c r="C112" s="6"/>
      <c r="D112" s="6"/>
      <c r="E112" s="6"/>
      <c r="F112" s="6"/>
      <c r="G112" s="11" t="str">
        <f aca="false">IF(OR(E112="",F112=""),"",ROUND(E112*(1+F112/30),1))</f>
        <v/>
      </c>
      <c r="H112" s="18" t="str">
        <f aca="false">IF(G112="","",IF(G112&gt;=_xlfn.MAXIFS($G$2:$G$501,$C$2:$C$501,C112),"PR",""))</f>
        <v/>
      </c>
      <c r="I112" s="6"/>
    </row>
    <row r="113" customFormat="false" ht="15" hidden="false" customHeight="false" outlineLevel="0" collapsed="false">
      <c r="A113" s="9"/>
      <c r="B113" s="6"/>
      <c r="C113" s="6"/>
      <c r="D113" s="6"/>
      <c r="E113" s="6"/>
      <c r="F113" s="6"/>
      <c r="G113" s="11" t="str">
        <f aca="false">IF(OR(E113="",F113=""),"",ROUND(E113*(1+F113/30),1))</f>
        <v/>
      </c>
      <c r="H113" s="18" t="str">
        <f aca="false">IF(G113="","",IF(G113&gt;=_xlfn.MAXIFS($G$2:$G$501,$C$2:$C$501,C113),"PR",""))</f>
        <v/>
      </c>
      <c r="I113" s="6"/>
    </row>
    <row r="114" customFormat="false" ht="15" hidden="false" customHeight="false" outlineLevel="0" collapsed="false">
      <c r="A114" s="9"/>
      <c r="B114" s="6"/>
      <c r="C114" s="6"/>
      <c r="D114" s="6"/>
      <c r="E114" s="6"/>
      <c r="F114" s="6"/>
      <c r="G114" s="11" t="str">
        <f aca="false">IF(OR(E114="",F114=""),"",ROUND(E114*(1+F114/30),1))</f>
        <v/>
      </c>
      <c r="H114" s="18" t="str">
        <f aca="false">IF(G114="","",IF(G114&gt;=_xlfn.MAXIFS($G$2:$G$501,$C$2:$C$501,C114),"PR",""))</f>
        <v/>
      </c>
      <c r="I114" s="6"/>
    </row>
    <row r="115" customFormat="false" ht="15" hidden="false" customHeight="false" outlineLevel="0" collapsed="false">
      <c r="A115" s="9"/>
      <c r="B115" s="6"/>
      <c r="C115" s="6"/>
      <c r="D115" s="6"/>
      <c r="E115" s="6"/>
      <c r="F115" s="6"/>
      <c r="G115" s="11" t="str">
        <f aca="false">IF(OR(E115="",F115=""),"",ROUND(E115*(1+F115/30),1))</f>
        <v/>
      </c>
      <c r="H115" s="18" t="str">
        <f aca="false">IF(G115="","",IF(G115&gt;=_xlfn.MAXIFS($G$2:$G$501,$C$2:$C$501,C115),"PR",""))</f>
        <v/>
      </c>
      <c r="I115" s="6"/>
    </row>
    <row r="116" customFormat="false" ht="15" hidden="false" customHeight="false" outlineLevel="0" collapsed="false">
      <c r="A116" s="9"/>
      <c r="B116" s="6"/>
      <c r="C116" s="6"/>
      <c r="D116" s="6"/>
      <c r="E116" s="6"/>
      <c r="F116" s="6"/>
      <c r="G116" s="11" t="str">
        <f aca="false">IF(OR(E116="",F116=""),"",ROUND(E116*(1+F116/30),1))</f>
        <v/>
      </c>
      <c r="H116" s="18" t="str">
        <f aca="false">IF(G116="","",IF(G116&gt;=_xlfn.MAXIFS($G$2:$G$501,$C$2:$C$501,C116),"PR",""))</f>
        <v/>
      </c>
      <c r="I116" s="6"/>
    </row>
    <row r="117" customFormat="false" ht="15" hidden="false" customHeight="false" outlineLevel="0" collapsed="false">
      <c r="A117" s="9"/>
      <c r="B117" s="6"/>
      <c r="C117" s="6"/>
      <c r="D117" s="6"/>
      <c r="E117" s="6"/>
      <c r="F117" s="6"/>
      <c r="G117" s="11" t="str">
        <f aca="false">IF(OR(E117="",F117=""),"",ROUND(E117*(1+F117/30),1))</f>
        <v/>
      </c>
      <c r="H117" s="18" t="str">
        <f aca="false">IF(G117="","",IF(G117&gt;=_xlfn.MAXIFS($G$2:$G$501,$C$2:$C$501,C117),"PR",""))</f>
        <v/>
      </c>
      <c r="I117" s="6"/>
    </row>
    <row r="118" customFormat="false" ht="15" hidden="false" customHeight="false" outlineLevel="0" collapsed="false">
      <c r="A118" s="9"/>
      <c r="B118" s="6"/>
      <c r="C118" s="6"/>
      <c r="D118" s="6"/>
      <c r="E118" s="6"/>
      <c r="F118" s="6"/>
      <c r="G118" s="11" t="str">
        <f aca="false">IF(OR(E118="",F118=""),"",ROUND(E118*(1+F118/30),1))</f>
        <v/>
      </c>
      <c r="H118" s="18" t="str">
        <f aca="false">IF(G118="","",IF(G118&gt;=_xlfn.MAXIFS($G$2:$G$501,$C$2:$C$501,C118),"PR",""))</f>
        <v/>
      </c>
      <c r="I118" s="6"/>
    </row>
    <row r="119" customFormat="false" ht="15" hidden="false" customHeight="false" outlineLevel="0" collapsed="false">
      <c r="A119" s="9"/>
      <c r="B119" s="6"/>
      <c r="C119" s="6"/>
      <c r="D119" s="6"/>
      <c r="E119" s="6"/>
      <c r="F119" s="6"/>
      <c r="G119" s="11" t="str">
        <f aca="false">IF(OR(E119="",F119=""),"",ROUND(E119*(1+F119/30),1))</f>
        <v/>
      </c>
      <c r="H119" s="18" t="str">
        <f aca="false">IF(G119="","",IF(G119&gt;=_xlfn.MAXIFS($G$2:$G$501,$C$2:$C$501,C119),"PR",""))</f>
        <v/>
      </c>
      <c r="I119" s="6"/>
    </row>
    <row r="120" customFormat="false" ht="15" hidden="false" customHeight="false" outlineLevel="0" collapsed="false">
      <c r="A120" s="9"/>
      <c r="B120" s="6"/>
      <c r="C120" s="6"/>
      <c r="D120" s="6"/>
      <c r="E120" s="6"/>
      <c r="F120" s="6"/>
      <c r="G120" s="11" t="str">
        <f aca="false">IF(OR(E120="",F120=""),"",ROUND(E120*(1+F120/30),1))</f>
        <v/>
      </c>
      <c r="H120" s="18" t="str">
        <f aca="false">IF(G120="","",IF(G120&gt;=_xlfn.MAXIFS($G$2:$G$501,$C$2:$C$501,C120),"PR",""))</f>
        <v/>
      </c>
      <c r="I120" s="6"/>
    </row>
    <row r="121" customFormat="false" ht="15" hidden="false" customHeight="false" outlineLevel="0" collapsed="false">
      <c r="A121" s="9"/>
      <c r="B121" s="6"/>
      <c r="C121" s="6"/>
      <c r="D121" s="6"/>
      <c r="E121" s="6"/>
      <c r="F121" s="6"/>
      <c r="G121" s="11" t="str">
        <f aca="false">IF(OR(E121="",F121=""),"",ROUND(E121*(1+F121/30),1))</f>
        <v/>
      </c>
      <c r="H121" s="18" t="str">
        <f aca="false">IF(G121="","",IF(G121&gt;=_xlfn.MAXIFS($G$2:$G$501,$C$2:$C$501,C121),"PR",""))</f>
        <v/>
      </c>
      <c r="I121" s="6"/>
    </row>
    <row r="122" customFormat="false" ht="15" hidden="false" customHeight="false" outlineLevel="0" collapsed="false">
      <c r="A122" s="9"/>
      <c r="B122" s="6"/>
      <c r="C122" s="6"/>
      <c r="D122" s="6"/>
      <c r="E122" s="6"/>
      <c r="F122" s="6"/>
      <c r="G122" s="11" t="str">
        <f aca="false">IF(OR(E122="",F122=""),"",ROUND(E122*(1+F122/30),1))</f>
        <v/>
      </c>
      <c r="H122" s="18" t="str">
        <f aca="false">IF(G122="","",IF(G122&gt;=_xlfn.MAXIFS($G$2:$G$501,$C$2:$C$501,C122),"PR",""))</f>
        <v/>
      </c>
      <c r="I122" s="6"/>
    </row>
    <row r="123" customFormat="false" ht="15" hidden="false" customHeight="false" outlineLevel="0" collapsed="false">
      <c r="A123" s="9"/>
      <c r="B123" s="6"/>
      <c r="C123" s="6"/>
      <c r="D123" s="6"/>
      <c r="E123" s="6"/>
      <c r="F123" s="6"/>
      <c r="G123" s="11" t="str">
        <f aca="false">IF(OR(E123="",F123=""),"",ROUND(E123*(1+F123/30),1))</f>
        <v/>
      </c>
      <c r="H123" s="18" t="str">
        <f aca="false">IF(G123="","",IF(G123&gt;=_xlfn.MAXIFS($G$2:$G$501,$C$2:$C$501,C123),"PR",""))</f>
        <v/>
      </c>
      <c r="I123" s="6"/>
    </row>
    <row r="124" customFormat="false" ht="15" hidden="false" customHeight="false" outlineLevel="0" collapsed="false">
      <c r="A124" s="9"/>
      <c r="B124" s="6"/>
      <c r="C124" s="6"/>
      <c r="D124" s="6"/>
      <c r="E124" s="6"/>
      <c r="F124" s="6"/>
      <c r="G124" s="11" t="str">
        <f aca="false">IF(OR(E124="",F124=""),"",ROUND(E124*(1+F124/30),1))</f>
        <v/>
      </c>
      <c r="H124" s="18" t="str">
        <f aca="false">IF(G124="","",IF(G124&gt;=_xlfn.MAXIFS($G$2:$G$501,$C$2:$C$501,C124),"PR",""))</f>
        <v/>
      </c>
      <c r="I124" s="6"/>
    </row>
    <row r="125" customFormat="false" ht="15" hidden="false" customHeight="false" outlineLevel="0" collapsed="false">
      <c r="A125" s="9"/>
      <c r="B125" s="6"/>
      <c r="C125" s="6"/>
      <c r="D125" s="6"/>
      <c r="E125" s="6"/>
      <c r="F125" s="6"/>
      <c r="G125" s="11" t="str">
        <f aca="false">IF(OR(E125="",F125=""),"",ROUND(E125*(1+F125/30),1))</f>
        <v/>
      </c>
      <c r="H125" s="18" t="str">
        <f aca="false">IF(G125="","",IF(G125&gt;=_xlfn.MAXIFS($G$2:$G$501,$C$2:$C$501,C125),"PR",""))</f>
        <v/>
      </c>
      <c r="I125" s="6"/>
    </row>
    <row r="126" customFormat="false" ht="15" hidden="false" customHeight="false" outlineLevel="0" collapsed="false">
      <c r="A126" s="9"/>
      <c r="B126" s="6"/>
      <c r="C126" s="6"/>
      <c r="D126" s="6"/>
      <c r="E126" s="6"/>
      <c r="F126" s="6"/>
      <c r="G126" s="11" t="str">
        <f aca="false">IF(OR(E126="",F126=""),"",ROUND(E126*(1+F126/30),1))</f>
        <v/>
      </c>
      <c r="H126" s="18" t="str">
        <f aca="false">IF(G126="","",IF(G126&gt;=_xlfn.MAXIFS($G$2:$G$501,$C$2:$C$501,C126),"PR",""))</f>
        <v/>
      </c>
      <c r="I126" s="6"/>
    </row>
    <row r="127" customFormat="false" ht="15" hidden="false" customHeight="false" outlineLevel="0" collapsed="false">
      <c r="A127" s="9"/>
      <c r="B127" s="6"/>
      <c r="C127" s="6"/>
      <c r="D127" s="6"/>
      <c r="E127" s="6"/>
      <c r="F127" s="6"/>
      <c r="G127" s="11" t="str">
        <f aca="false">IF(OR(E127="",F127=""),"",ROUND(E127*(1+F127/30),1))</f>
        <v/>
      </c>
      <c r="H127" s="18" t="str">
        <f aca="false">IF(G127="","",IF(G127&gt;=_xlfn.MAXIFS($G$2:$G$501,$C$2:$C$501,C127),"PR",""))</f>
        <v/>
      </c>
      <c r="I127" s="6"/>
    </row>
    <row r="128" customFormat="false" ht="15" hidden="false" customHeight="false" outlineLevel="0" collapsed="false">
      <c r="A128" s="9"/>
      <c r="B128" s="6"/>
      <c r="C128" s="6"/>
      <c r="D128" s="6"/>
      <c r="E128" s="6"/>
      <c r="F128" s="6"/>
      <c r="G128" s="11" t="str">
        <f aca="false">IF(OR(E128="",F128=""),"",ROUND(E128*(1+F128/30),1))</f>
        <v/>
      </c>
      <c r="H128" s="18" t="str">
        <f aca="false">IF(G128="","",IF(G128&gt;=_xlfn.MAXIFS($G$2:$G$501,$C$2:$C$501,C128),"PR",""))</f>
        <v/>
      </c>
      <c r="I128" s="6"/>
    </row>
    <row r="129" customFormat="false" ht="15" hidden="false" customHeight="false" outlineLevel="0" collapsed="false">
      <c r="A129" s="9"/>
      <c r="B129" s="6"/>
      <c r="C129" s="6"/>
      <c r="D129" s="6"/>
      <c r="E129" s="6"/>
      <c r="F129" s="6"/>
      <c r="G129" s="11" t="str">
        <f aca="false">IF(OR(E129="",F129=""),"",ROUND(E129*(1+F129/30),1))</f>
        <v/>
      </c>
      <c r="H129" s="18" t="str">
        <f aca="false">IF(G129="","",IF(G129&gt;=_xlfn.MAXIFS($G$2:$G$501,$C$2:$C$501,C129),"PR",""))</f>
        <v/>
      </c>
      <c r="I129" s="6"/>
    </row>
    <row r="130" customFormat="false" ht="15" hidden="false" customHeight="false" outlineLevel="0" collapsed="false">
      <c r="A130" s="9"/>
      <c r="B130" s="6"/>
      <c r="C130" s="6"/>
      <c r="D130" s="6"/>
      <c r="E130" s="6"/>
      <c r="F130" s="6"/>
      <c r="G130" s="11" t="str">
        <f aca="false">IF(OR(E130="",F130=""),"",ROUND(E130*(1+F130/30),1))</f>
        <v/>
      </c>
      <c r="H130" s="18" t="str">
        <f aca="false">IF(G130="","",IF(G130&gt;=_xlfn.MAXIFS($G$2:$G$501,$C$2:$C$501,C130),"PR",""))</f>
        <v/>
      </c>
      <c r="I130" s="6"/>
    </row>
    <row r="131" customFormat="false" ht="15" hidden="false" customHeight="false" outlineLevel="0" collapsed="false">
      <c r="A131" s="9"/>
      <c r="B131" s="6"/>
      <c r="C131" s="6"/>
      <c r="D131" s="6"/>
      <c r="E131" s="6"/>
      <c r="F131" s="6"/>
      <c r="G131" s="11" t="str">
        <f aca="false">IF(OR(E131="",F131=""),"",ROUND(E131*(1+F131/30),1))</f>
        <v/>
      </c>
      <c r="H131" s="18" t="str">
        <f aca="false">IF(G131="","",IF(G131&gt;=_xlfn.MAXIFS($G$2:$G$501,$C$2:$C$501,C131),"PR",""))</f>
        <v/>
      </c>
      <c r="I131" s="6"/>
    </row>
    <row r="132" customFormat="false" ht="15" hidden="false" customHeight="false" outlineLevel="0" collapsed="false">
      <c r="A132" s="9"/>
      <c r="B132" s="6"/>
      <c r="C132" s="6"/>
      <c r="D132" s="6"/>
      <c r="E132" s="6"/>
      <c r="F132" s="6"/>
      <c r="G132" s="11" t="str">
        <f aca="false">IF(OR(E132="",F132=""),"",ROUND(E132*(1+F132/30),1))</f>
        <v/>
      </c>
      <c r="H132" s="18" t="str">
        <f aca="false">IF(G132="","",IF(G132&gt;=_xlfn.MAXIFS($G$2:$G$501,$C$2:$C$501,C132),"PR",""))</f>
        <v/>
      </c>
      <c r="I132" s="6"/>
    </row>
    <row r="133" customFormat="false" ht="15" hidden="false" customHeight="false" outlineLevel="0" collapsed="false">
      <c r="A133" s="9"/>
      <c r="B133" s="6"/>
      <c r="C133" s="6"/>
      <c r="D133" s="6"/>
      <c r="E133" s="6"/>
      <c r="F133" s="6"/>
      <c r="G133" s="11" t="str">
        <f aca="false">IF(OR(E133="",F133=""),"",ROUND(E133*(1+F133/30),1))</f>
        <v/>
      </c>
      <c r="H133" s="18" t="str">
        <f aca="false">IF(G133="","",IF(G133&gt;=_xlfn.MAXIFS($G$2:$G$501,$C$2:$C$501,C133),"PR",""))</f>
        <v/>
      </c>
      <c r="I133" s="6"/>
    </row>
    <row r="134" customFormat="false" ht="15" hidden="false" customHeight="false" outlineLevel="0" collapsed="false">
      <c r="A134" s="9"/>
      <c r="B134" s="6"/>
      <c r="C134" s="6"/>
      <c r="D134" s="6"/>
      <c r="E134" s="6"/>
      <c r="F134" s="6"/>
      <c r="G134" s="11" t="str">
        <f aca="false">IF(OR(E134="",F134=""),"",ROUND(E134*(1+F134/30),1))</f>
        <v/>
      </c>
      <c r="H134" s="18" t="str">
        <f aca="false">IF(G134="","",IF(G134&gt;=_xlfn.MAXIFS($G$2:$G$501,$C$2:$C$501,C134),"PR",""))</f>
        <v/>
      </c>
      <c r="I134" s="6"/>
    </row>
    <row r="135" customFormat="false" ht="15" hidden="false" customHeight="false" outlineLevel="0" collapsed="false">
      <c r="A135" s="9"/>
      <c r="B135" s="6"/>
      <c r="C135" s="6"/>
      <c r="D135" s="6"/>
      <c r="E135" s="6"/>
      <c r="F135" s="6"/>
      <c r="G135" s="11" t="str">
        <f aca="false">IF(OR(E135="",F135=""),"",ROUND(E135*(1+F135/30),1))</f>
        <v/>
      </c>
      <c r="H135" s="18" t="str">
        <f aca="false">IF(G135="","",IF(G135&gt;=_xlfn.MAXIFS($G$2:$G$501,$C$2:$C$501,C135),"PR",""))</f>
        <v/>
      </c>
      <c r="I135" s="6"/>
    </row>
    <row r="136" customFormat="false" ht="15" hidden="false" customHeight="false" outlineLevel="0" collapsed="false">
      <c r="A136" s="9"/>
      <c r="B136" s="6"/>
      <c r="C136" s="6"/>
      <c r="D136" s="6"/>
      <c r="E136" s="6"/>
      <c r="F136" s="6"/>
      <c r="G136" s="11" t="str">
        <f aca="false">IF(OR(E136="",F136=""),"",ROUND(E136*(1+F136/30),1))</f>
        <v/>
      </c>
      <c r="H136" s="18" t="str">
        <f aca="false">IF(G136="","",IF(G136&gt;=_xlfn.MAXIFS($G$2:$G$501,$C$2:$C$501,C136),"PR",""))</f>
        <v/>
      </c>
      <c r="I136" s="6"/>
    </row>
    <row r="137" customFormat="false" ht="15" hidden="false" customHeight="false" outlineLevel="0" collapsed="false">
      <c r="A137" s="9"/>
      <c r="B137" s="6"/>
      <c r="C137" s="6"/>
      <c r="D137" s="6"/>
      <c r="E137" s="6"/>
      <c r="F137" s="6"/>
      <c r="G137" s="11" t="str">
        <f aca="false">IF(OR(E137="",F137=""),"",ROUND(E137*(1+F137/30),1))</f>
        <v/>
      </c>
      <c r="H137" s="18" t="str">
        <f aca="false">IF(G137="","",IF(G137&gt;=_xlfn.MAXIFS($G$2:$G$501,$C$2:$C$501,C137),"PR",""))</f>
        <v/>
      </c>
      <c r="I137" s="6"/>
    </row>
    <row r="138" customFormat="false" ht="15" hidden="false" customHeight="false" outlineLevel="0" collapsed="false">
      <c r="A138" s="9"/>
      <c r="B138" s="6"/>
      <c r="C138" s="6"/>
      <c r="D138" s="6"/>
      <c r="E138" s="6"/>
      <c r="F138" s="6"/>
      <c r="G138" s="11" t="str">
        <f aca="false">IF(OR(E138="",F138=""),"",ROUND(E138*(1+F138/30),1))</f>
        <v/>
      </c>
      <c r="H138" s="18" t="str">
        <f aca="false">IF(G138="","",IF(G138&gt;=_xlfn.MAXIFS($G$2:$G$501,$C$2:$C$501,C138),"PR",""))</f>
        <v/>
      </c>
      <c r="I138" s="6"/>
    </row>
    <row r="139" customFormat="false" ht="15" hidden="false" customHeight="false" outlineLevel="0" collapsed="false">
      <c r="A139" s="9"/>
      <c r="B139" s="6"/>
      <c r="C139" s="6"/>
      <c r="D139" s="6"/>
      <c r="E139" s="6"/>
      <c r="F139" s="6"/>
      <c r="G139" s="11" t="str">
        <f aca="false">IF(OR(E139="",F139=""),"",ROUND(E139*(1+F139/30),1))</f>
        <v/>
      </c>
      <c r="H139" s="18" t="str">
        <f aca="false">IF(G139="","",IF(G139&gt;=_xlfn.MAXIFS($G$2:$G$501,$C$2:$C$501,C139),"PR",""))</f>
        <v/>
      </c>
      <c r="I139" s="6"/>
    </row>
    <row r="140" customFormat="false" ht="15" hidden="false" customHeight="false" outlineLevel="0" collapsed="false">
      <c r="A140" s="9"/>
      <c r="B140" s="6"/>
      <c r="C140" s="6"/>
      <c r="D140" s="6"/>
      <c r="E140" s="6"/>
      <c r="F140" s="6"/>
      <c r="G140" s="11" t="str">
        <f aca="false">IF(OR(E140="",F140=""),"",ROUND(E140*(1+F140/30),1))</f>
        <v/>
      </c>
      <c r="H140" s="18" t="str">
        <f aca="false">IF(G140="","",IF(G140&gt;=_xlfn.MAXIFS($G$2:$G$501,$C$2:$C$501,C140),"PR",""))</f>
        <v/>
      </c>
      <c r="I140" s="6"/>
    </row>
    <row r="141" customFormat="false" ht="15" hidden="false" customHeight="false" outlineLevel="0" collapsed="false">
      <c r="A141" s="9"/>
      <c r="B141" s="6"/>
      <c r="C141" s="6"/>
      <c r="D141" s="6"/>
      <c r="E141" s="6"/>
      <c r="F141" s="6"/>
      <c r="G141" s="11" t="str">
        <f aca="false">IF(OR(E141="",F141=""),"",ROUND(E141*(1+F141/30),1))</f>
        <v/>
      </c>
      <c r="H141" s="18" t="str">
        <f aca="false">IF(G141="","",IF(G141&gt;=_xlfn.MAXIFS($G$2:$G$501,$C$2:$C$501,C141),"PR",""))</f>
        <v/>
      </c>
      <c r="I141" s="6"/>
    </row>
    <row r="142" customFormat="false" ht="15" hidden="false" customHeight="false" outlineLevel="0" collapsed="false">
      <c r="A142" s="9"/>
      <c r="B142" s="6"/>
      <c r="C142" s="6"/>
      <c r="D142" s="6"/>
      <c r="E142" s="6"/>
      <c r="F142" s="6"/>
      <c r="G142" s="11" t="str">
        <f aca="false">IF(OR(E142="",F142=""),"",ROUND(E142*(1+F142/30),1))</f>
        <v/>
      </c>
      <c r="H142" s="18" t="str">
        <f aca="false">IF(G142="","",IF(G142&gt;=_xlfn.MAXIFS($G$2:$G$501,$C$2:$C$501,C142),"PR",""))</f>
        <v/>
      </c>
      <c r="I142" s="6"/>
    </row>
    <row r="143" customFormat="false" ht="15" hidden="false" customHeight="false" outlineLevel="0" collapsed="false">
      <c r="A143" s="9"/>
      <c r="B143" s="6"/>
      <c r="C143" s="6"/>
      <c r="D143" s="6"/>
      <c r="E143" s="6"/>
      <c r="F143" s="6"/>
      <c r="G143" s="11" t="str">
        <f aca="false">IF(OR(E143="",F143=""),"",ROUND(E143*(1+F143/30),1))</f>
        <v/>
      </c>
      <c r="H143" s="18" t="str">
        <f aca="false">IF(G143="","",IF(G143&gt;=_xlfn.MAXIFS($G$2:$G$501,$C$2:$C$501,C143),"PR",""))</f>
        <v/>
      </c>
      <c r="I143" s="6"/>
    </row>
    <row r="144" customFormat="false" ht="15" hidden="false" customHeight="false" outlineLevel="0" collapsed="false">
      <c r="A144" s="9"/>
      <c r="B144" s="6"/>
      <c r="C144" s="6"/>
      <c r="D144" s="6"/>
      <c r="E144" s="6"/>
      <c r="F144" s="6"/>
      <c r="G144" s="11" t="str">
        <f aca="false">IF(OR(E144="",F144=""),"",ROUND(E144*(1+F144/30),1))</f>
        <v/>
      </c>
      <c r="H144" s="18" t="str">
        <f aca="false">IF(G144="","",IF(G144&gt;=_xlfn.MAXIFS($G$2:$G$501,$C$2:$C$501,C144),"PR",""))</f>
        <v/>
      </c>
      <c r="I144" s="6"/>
    </row>
    <row r="145" customFormat="false" ht="15" hidden="false" customHeight="false" outlineLevel="0" collapsed="false">
      <c r="A145" s="9"/>
      <c r="B145" s="6"/>
      <c r="C145" s="6"/>
      <c r="D145" s="6"/>
      <c r="E145" s="6"/>
      <c r="F145" s="6"/>
      <c r="G145" s="11" t="str">
        <f aca="false">IF(OR(E145="",F145=""),"",ROUND(E145*(1+F145/30),1))</f>
        <v/>
      </c>
      <c r="H145" s="18" t="str">
        <f aca="false">IF(G145="","",IF(G145&gt;=_xlfn.MAXIFS($G$2:$G$501,$C$2:$C$501,C145),"PR",""))</f>
        <v/>
      </c>
      <c r="I145" s="6"/>
    </row>
    <row r="146" customFormat="false" ht="15" hidden="false" customHeight="false" outlineLevel="0" collapsed="false">
      <c r="A146" s="9"/>
      <c r="B146" s="6"/>
      <c r="C146" s="6"/>
      <c r="D146" s="6"/>
      <c r="E146" s="6"/>
      <c r="F146" s="6"/>
      <c r="G146" s="11" t="str">
        <f aca="false">IF(OR(E146="",F146=""),"",ROUND(E146*(1+F146/30),1))</f>
        <v/>
      </c>
      <c r="H146" s="18" t="str">
        <f aca="false">IF(G146="","",IF(G146&gt;=_xlfn.MAXIFS($G$2:$G$501,$C$2:$C$501,C146),"PR",""))</f>
        <v/>
      </c>
      <c r="I146" s="6"/>
    </row>
    <row r="147" customFormat="false" ht="15" hidden="false" customHeight="false" outlineLevel="0" collapsed="false">
      <c r="A147" s="9"/>
      <c r="B147" s="6"/>
      <c r="C147" s="6"/>
      <c r="D147" s="6"/>
      <c r="E147" s="6"/>
      <c r="F147" s="6"/>
      <c r="G147" s="11" t="str">
        <f aca="false">IF(OR(E147="",F147=""),"",ROUND(E147*(1+F147/30),1))</f>
        <v/>
      </c>
      <c r="H147" s="18" t="str">
        <f aca="false">IF(G147="","",IF(G147&gt;=_xlfn.MAXIFS($G$2:$G$501,$C$2:$C$501,C147),"PR",""))</f>
        <v/>
      </c>
      <c r="I147" s="6"/>
    </row>
    <row r="148" customFormat="false" ht="15" hidden="false" customHeight="false" outlineLevel="0" collapsed="false">
      <c r="A148" s="9"/>
      <c r="B148" s="6"/>
      <c r="C148" s="6"/>
      <c r="D148" s="6"/>
      <c r="E148" s="6"/>
      <c r="F148" s="6"/>
      <c r="G148" s="11" t="str">
        <f aca="false">IF(OR(E148="",F148=""),"",ROUND(E148*(1+F148/30),1))</f>
        <v/>
      </c>
      <c r="H148" s="18" t="str">
        <f aca="false">IF(G148="","",IF(G148&gt;=_xlfn.MAXIFS($G$2:$G$501,$C$2:$C$501,C148),"PR",""))</f>
        <v/>
      </c>
      <c r="I148" s="6"/>
    </row>
    <row r="149" customFormat="false" ht="15" hidden="false" customHeight="false" outlineLevel="0" collapsed="false">
      <c r="A149" s="9"/>
      <c r="B149" s="6"/>
      <c r="C149" s="6"/>
      <c r="D149" s="6"/>
      <c r="E149" s="6"/>
      <c r="F149" s="6"/>
      <c r="G149" s="11" t="str">
        <f aca="false">IF(OR(E149="",F149=""),"",ROUND(E149*(1+F149/30),1))</f>
        <v/>
      </c>
      <c r="H149" s="18" t="str">
        <f aca="false">IF(G149="","",IF(G149&gt;=_xlfn.MAXIFS($G$2:$G$501,$C$2:$C$501,C149),"PR",""))</f>
        <v/>
      </c>
      <c r="I149" s="6"/>
    </row>
    <row r="150" customFormat="false" ht="15" hidden="false" customHeight="false" outlineLevel="0" collapsed="false">
      <c r="A150" s="9"/>
      <c r="B150" s="6"/>
      <c r="C150" s="6"/>
      <c r="D150" s="6"/>
      <c r="E150" s="6"/>
      <c r="F150" s="6"/>
      <c r="G150" s="11" t="str">
        <f aca="false">IF(OR(E150="",F150=""),"",ROUND(E150*(1+F150/30),1))</f>
        <v/>
      </c>
      <c r="H150" s="18" t="str">
        <f aca="false">IF(G150="","",IF(G150&gt;=_xlfn.MAXIFS($G$2:$G$501,$C$2:$C$501,C150),"PR",""))</f>
        <v/>
      </c>
      <c r="I150" s="6"/>
    </row>
    <row r="151" customFormat="false" ht="15" hidden="false" customHeight="false" outlineLevel="0" collapsed="false">
      <c r="A151" s="9"/>
      <c r="B151" s="6"/>
      <c r="C151" s="6"/>
      <c r="D151" s="6"/>
      <c r="E151" s="6"/>
      <c r="F151" s="6"/>
      <c r="G151" s="11" t="str">
        <f aca="false">IF(OR(E151="",F151=""),"",ROUND(E151*(1+F151/30),1))</f>
        <v/>
      </c>
      <c r="H151" s="18" t="str">
        <f aca="false">IF(G151="","",IF(G151&gt;=_xlfn.MAXIFS($G$2:$G$501,$C$2:$C$501,C151),"PR",""))</f>
        <v/>
      </c>
      <c r="I151" s="6"/>
    </row>
    <row r="152" customFormat="false" ht="15" hidden="false" customHeight="false" outlineLevel="0" collapsed="false">
      <c r="A152" s="9"/>
      <c r="B152" s="6"/>
      <c r="C152" s="6"/>
      <c r="D152" s="6"/>
      <c r="E152" s="6"/>
      <c r="F152" s="6"/>
      <c r="G152" s="11" t="str">
        <f aca="false">IF(OR(E152="",F152=""),"",ROUND(E152*(1+F152/30),1))</f>
        <v/>
      </c>
      <c r="H152" s="18" t="str">
        <f aca="false">IF(G152="","",IF(G152&gt;=_xlfn.MAXIFS($G$2:$G$501,$C$2:$C$501,C152),"PR",""))</f>
        <v/>
      </c>
      <c r="I152" s="6"/>
    </row>
    <row r="153" customFormat="false" ht="15" hidden="false" customHeight="false" outlineLevel="0" collapsed="false">
      <c r="A153" s="9"/>
      <c r="B153" s="6"/>
      <c r="C153" s="6"/>
      <c r="D153" s="6"/>
      <c r="E153" s="6"/>
      <c r="F153" s="6"/>
      <c r="G153" s="11" t="str">
        <f aca="false">IF(OR(E153="",F153=""),"",ROUND(E153*(1+F153/30),1))</f>
        <v/>
      </c>
      <c r="H153" s="18" t="str">
        <f aca="false">IF(G153="","",IF(G153&gt;=_xlfn.MAXIFS($G$2:$G$501,$C$2:$C$501,C153),"PR",""))</f>
        <v/>
      </c>
      <c r="I153" s="6"/>
    </row>
    <row r="154" customFormat="false" ht="15" hidden="false" customHeight="false" outlineLevel="0" collapsed="false">
      <c r="A154" s="9"/>
      <c r="B154" s="6"/>
      <c r="C154" s="6"/>
      <c r="D154" s="6"/>
      <c r="E154" s="6"/>
      <c r="F154" s="6"/>
      <c r="G154" s="11" t="str">
        <f aca="false">IF(OR(E154="",F154=""),"",ROUND(E154*(1+F154/30),1))</f>
        <v/>
      </c>
      <c r="H154" s="18" t="str">
        <f aca="false">IF(G154="","",IF(G154&gt;=_xlfn.MAXIFS($G$2:$G$501,$C$2:$C$501,C154),"PR",""))</f>
        <v/>
      </c>
      <c r="I154" s="6"/>
    </row>
    <row r="155" customFormat="false" ht="15" hidden="false" customHeight="false" outlineLevel="0" collapsed="false">
      <c r="A155" s="9"/>
      <c r="B155" s="6"/>
      <c r="C155" s="6"/>
      <c r="D155" s="6"/>
      <c r="E155" s="6"/>
      <c r="F155" s="6"/>
      <c r="G155" s="11" t="str">
        <f aca="false">IF(OR(E155="",F155=""),"",ROUND(E155*(1+F155/30),1))</f>
        <v/>
      </c>
      <c r="H155" s="18" t="str">
        <f aca="false">IF(G155="","",IF(G155&gt;=_xlfn.MAXIFS($G$2:$G$501,$C$2:$C$501,C155),"PR",""))</f>
        <v/>
      </c>
      <c r="I155" s="6"/>
    </row>
    <row r="156" customFormat="false" ht="15" hidden="false" customHeight="false" outlineLevel="0" collapsed="false">
      <c r="A156" s="9"/>
      <c r="B156" s="6"/>
      <c r="C156" s="6"/>
      <c r="D156" s="6"/>
      <c r="E156" s="6"/>
      <c r="F156" s="6"/>
      <c r="G156" s="11" t="str">
        <f aca="false">IF(OR(E156="",F156=""),"",ROUND(E156*(1+F156/30),1))</f>
        <v/>
      </c>
      <c r="H156" s="18" t="str">
        <f aca="false">IF(G156="","",IF(G156&gt;=_xlfn.MAXIFS($G$2:$G$501,$C$2:$C$501,C156),"PR",""))</f>
        <v/>
      </c>
      <c r="I156" s="6"/>
    </row>
    <row r="157" customFormat="false" ht="15" hidden="false" customHeight="false" outlineLevel="0" collapsed="false">
      <c r="A157" s="9"/>
      <c r="B157" s="6"/>
      <c r="C157" s="6"/>
      <c r="D157" s="6"/>
      <c r="E157" s="6"/>
      <c r="F157" s="6"/>
      <c r="G157" s="11" t="str">
        <f aca="false">IF(OR(E157="",F157=""),"",ROUND(E157*(1+F157/30),1))</f>
        <v/>
      </c>
      <c r="H157" s="18" t="str">
        <f aca="false">IF(G157="","",IF(G157&gt;=_xlfn.MAXIFS($G$2:$G$501,$C$2:$C$501,C157),"PR",""))</f>
        <v/>
      </c>
      <c r="I157" s="6"/>
    </row>
    <row r="158" customFormat="false" ht="15" hidden="false" customHeight="false" outlineLevel="0" collapsed="false">
      <c r="A158" s="9"/>
      <c r="B158" s="6"/>
      <c r="C158" s="6"/>
      <c r="D158" s="6"/>
      <c r="E158" s="6"/>
      <c r="F158" s="6"/>
      <c r="G158" s="11" t="str">
        <f aca="false">IF(OR(E158="",F158=""),"",ROUND(E158*(1+F158/30),1))</f>
        <v/>
      </c>
      <c r="H158" s="18" t="str">
        <f aca="false">IF(G158="","",IF(G158&gt;=_xlfn.MAXIFS($G$2:$G$501,$C$2:$C$501,C158),"PR",""))</f>
        <v/>
      </c>
      <c r="I158" s="6"/>
    </row>
    <row r="159" customFormat="false" ht="15" hidden="false" customHeight="false" outlineLevel="0" collapsed="false">
      <c r="A159" s="9"/>
      <c r="B159" s="6"/>
      <c r="C159" s="6"/>
      <c r="D159" s="6"/>
      <c r="E159" s="6"/>
      <c r="F159" s="6"/>
      <c r="G159" s="11" t="str">
        <f aca="false">IF(OR(E159="",F159=""),"",ROUND(E159*(1+F159/30),1))</f>
        <v/>
      </c>
      <c r="H159" s="18" t="str">
        <f aca="false">IF(G159="","",IF(G159&gt;=_xlfn.MAXIFS($G$2:$G$501,$C$2:$C$501,C159),"PR",""))</f>
        <v/>
      </c>
      <c r="I159" s="6"/>
    </row>
    <row r="160" customFormat="false" ht="15" hidden="false" customHeight="false" outlineLevel="0" collapsed="false">
      <c r="A160" s="9"/>
      <c r="B160" s="6"/>
      <c r="C160" s="6"/>
      <c r="D160" s="6"/>
      <c r="E160" s="6"/>
      <c r="F160" s="6"/>
      <c r="G160" s="11" t="str">
        <f aca="false">IF(OR(E160="",F160=""),"",ROUND(E160*(1+F160/30),1))</f>
        <v/>
      </c>
      <c r="H160" s="18" t="str">
        <f aca="false">IF(G160="","",IF(G160&gt;=_xlfn.MAXIFS($G$2:$G$501,$C$2:$C$501,C160),"PR",""))</f>
        <v/>
      </c>
      <c r="I160" s="6"/>
    </row>
    <row r="161" customFormat="false" ht="15" hidden="false" customHeight="false" outlineLevel="0" collapsed="false">
      <c r="A161" s="9"/>
      <c r="B161" s="6"/>
      <c r="C161" s="6"/>
      <c r="D161" s="6"/>
      <c r="E161" s="6"/>
      <c r="F161" s="6"/>
      <c r="G161" s="11" t="str">
        <f aca="false">IF(OR(E161="",F161=""),"",ROUND(E161*(1+F161/30),1))</f>
        <v/>
      </c>
      <c r="H161" s="18" t="str">
        <f aca="false">IF(G161="","",IF(G161&gt;=_xlfn.MAXIFS($G$2:$G$501,$C$2:$C$501,C161),"PR",""))</f>
        <v/>
      </c>
      <c r="I161" s="6"/>
    </row>
    <row r="162" customFormat="false" ht="15" hidden="false" customHeight="false" outlineLevel="0" collapsed="false">
      <c r="A162" s="9"/>
      <c r="B162" s="6"/>
      <c r="C162" s="6"/>
      <c r="D162" s="6"/>
      <c r="E162" s="6"/>
      <c r="F162" s="6"/>
      <c r="G162" s="11" t="str">
        <f aca="false">IF(OR(E162="",F162=""),"",ROUND(E162*(1+F162/30),1))</f>
        <v/>
      </c>
      <c r="H162" s="18" t="str">
        <f aca="false">IF(G162="","",IF(G162&gt;=_xlfn.MAXIFS($G$2:$G$501,$C$2:$C$501,C162),"PR",""))</f>
        <v/>
      </c>
      <c r="I162" s="6"/>
    </row>
    <row r="163" customFormat="false" ht="15" hidden="false" customHeight="false" outlineLevel="0" collapsed="false">
      <c r="A163" s="9"/>
      <c r="B163" s="6"/>
      <c r="C163" s="6"/>
      <c r="D163" s="6"/>
      <c r="E163" s="6"/>
      <c r="F163" s="6"/>
      <c r="G163" s="11" t="str">
        <f aca="false">IF(OR(E163="",F163=""),"",ROUND(E163*(1+F163/30),1))</f>
        <v/>
      </c>
      <c r="H163" s="18" t="str">
        <f aca="false">IF(G163="","",IF(G163&gt;=_xlfn.MAXIFS($G$2:$G$501,$C$2:$C$501,C163),"PR",""))</f>
        <v/>
      </c>
      <c r="I163" s="6"/>
    </row>
    <row r="164" customFormat="false" ht="15" hidden="false" customHeight="false" outlineLevel="0" collapsed="false">
      <c r="A164" s="9"/>
      <c r="B164" s="6"/>
      <c r="C164" s="6"/>
      <c r="D164" s="6"/>
      <c r="E164" s="6"/>
      <c r="F164" s="6"/>
      <c r="G164" s="11" t="str">
        <f aca="false">IF(OR(E164="",F164=""),"",ROUND(E164*(1+F164/30),1))</f>
        <v/>
      </c>
      <c r="H164" s="18" t="str">
        <f aca="false">IF(G164="","",IF(G164&gt;=_xlfn.MAXIFS($G$2:$G$501,$C$2:$C$501,C164),"PR",""))</f>
        <v/>
      </c>
      <c r="I164" s="6"/>
    </row>
    <row r="165" customFormat="false" ht="15" hidden="false" customHeight="false" outlineLevel="0" collapsed="false">
      <c r="A165" s="9"/>
      <c r="B165" s="6"/>
      <c r="C165" s="6"/>
      <c r="D165" s="6"/>
      <c r="E165" s="6"/>
      <c r="F165" s="6"/>
      <c r="G165" s="11" t="str">
        <f aca="false">IF(OR(E165="",F165=""),"",ROUND(E165*(1+F165/30),1))</f>
        <v/>
      </c>
      <c r="H165" s="18" t="str">
        <f aca="false">IF(G165="","",IF(G165&gt;=_xlfn.MAXIFS($G$2:$G$501,$C$2:$C$501,C165),"PR",""))</f>
        <v/>
      </c>
      <c r="I165" s="6"/>
    </row>
    <row r="166" customFormat="false" ht="15" hidden="false" customHeight="false" outlineLevel="0" collapsed="false">
      <c r="A166" s="9"/>
      <c r="B166" s="6"/>
      <c r="C166" s="6"/>
      <c r="D166" s="6"/>
      <c r="E166" s="6"/>
      <c r="F166" s="6"/>
      <c r="G166" s="11" t="str">
        <f aca="false">IF(OR(E166="",F166=""),"",ROUND(E166*(1+F166/30),1))</f>
        <v/>
      </c>
      <c r="H166" s="18" t="str">
        <f aca="false">IF(G166="","",IF(G166&gt;=_xlfn.MAXIFS($G$2:$G$501,$C$2:$C$501,C166),"PR",""))</f>
        <v/>
      </c>
      <c r="I166" s="6"/>
    </row>
    <row r="167" customFormat="false" ht="15" hidden="false" customHeight="false" outlineLevel="0" collapsed="false">
      <c r="A167" s="9"/>
      <c r="B167" s="6"/>
      <c r="C167" s="6"/>
      <c r="D167" s="6"/>
      <c r="E167" s="6"/>
      <c r="F167" s="6"/>
      <c r="G167" s="11" t="str">
        <f aca="false">IF(OR(E167="",F167=""),"",ROUND(E167*(1+F167/30),1))</f>
        <v/>
      </c>
      <c r="H167" s="18" t="str">
        <f aca="false">IF(G167="","",IF(G167&gt;=_xlfn.MAXIFS($G$2:$G$501,$C$2:$C$501,C167),"PR",""))</f>
        <v/>
      </c>
      <c r="I167" s="6"/>
    </row>
    <row r="168" customFormat="false" ht="15" hidden="false" customHeight="false" outlineLevel="0" collapsed="false">
      <c r="A168" s="9"/>
      <c r="B168" s="6"/>
      <c r="C168" s="6"/>
      <c r="D168" s="6"/>
      <c r="E168" s="6"/>
      <c r="F168" s="6"/>
      <c r="G168" s="11" t="str">
        <f aca="false">IF(OR(E168="",F168=""),"",ROUND(E168*(1+F168/30),1))</f>
        <v/>
      </c>
      <c r="H168" s="18" t="str">
        <f aca="false">IF(G168="","",IF(G168&gt;=_xlfn.MAXIFS($G$2:$G$501,$C$2:$C$501,C168),"PR",""))</f>
        <v/>
      </c>
      <c r="I168" s="6"/>
    </row>
    <row r="169" customFormat="false" ht="15" hidden="false" customHeight="false" outlineLevel="0" collapsed="false">
      <c r="A169" s="9"/>
      <c r="B169" s="6"/>
      <c r="C169" s="6"/>
      <c r="D169" s="6"/>
      <c r="E169" s="6"/>
      <c r="F169" s="6"/>
      <c r="G169" s="11" t="str">
        <f aca="false">IF(OR(E169="",F169=""),"",ROUND(E169*(1+F169/30),1))</f>
        <v/>
      </c>
      <c r="H169" s="18" t="str">
        <f aca="false">IF(G169="","",IF(G169&gt;=_xlfn.MAXIFS($G$2:$G$501,$C$2:$C$501,C169),"PR",""))</f>
        <v/>
      </c>
      <c r="I169" s="6"/>
    </row>
    <row r="170" customFormat="false" ht="15" hidden="false" customHeight="false" outlineLevel="0" collapsed="false">
      <c r="A170" s="9"/>
      <c r="B170" s="6"/>
      <c r="C170" s="6"/>
      <c r="D170" s="6"/>
      <c r="E170" s="6"/>
      <c r="F170" s="6"/>
      <c r="G170" s="11" t="str">
        <f aca="false">IF(OR(E170="",F170=""),"",ROUND(E170*(1+F170/30),1))</f>
        <v/>
      </c>
      <c r="H170" s="18" t="str">
        <f aca="false">IF(G170="","",IF(G170&gt;=_xlfn.MAXIFS($G$2:$G$501,$C$2:$C$501,C170),"PR",""))</f>
        <v/>
      </c>
      <c r="I170" s="6"/>
    </row>
    <row r="171" customFormat="false" ht="15" hidden="false" customHeight="false" outlineLevel="0" collapsed="false">
      <c r="A171" s="9"/>
      <c r="B171" s="6"/>
      <c r="C171" s="6"/>
      <c r="D171" s="6"/>
      <c r="E171" s="6"/>
      <c r="F171" s="6"/>
      <c r="G171" s="11" t="str">
        <f aca="false">IF(OR(E171="",F171=""),"",ROUND(E171*(1+F171/30),1))</f>
        <v/>
      </c>
      <c r="H171" s="18" t="str">
        <f aca="false">IF(G171="","",IF(G171&gt;=_xlfn.MAXIFS($G$2:$G$501,$C$2:$C$501,C171),"PR",""))</f>
        <v/>
      </c>
      <c r="I171" s="6"/>
    </row>
    <row r="172" customFormat="false" ht="15" hidden="false" customHeight="false" outlineLevel="0" collapsed="false">
      <c r="A172" s="9"/>
      <c r="B172" s="6"/>
      <c r="C172" s="6"/>
      <c r="D172" s="6"/>
      <c r="E172" s="6"/>
      <c r="F172" s="6"/>
      <c r="G172" s="11" t="str">
        <f aca="false">IF(OR(E172="",F172=""),"",ROUND(E172*(1+F172/30),1))</f>
        <v/>
      </c>
      <c r="H172" s="18" t="str">
        <f aca="false">IF(G172="","",IF(G172&gt;=_xlfn.MAXIFS($G$2:$G$501,$C$2:$C$501,C172),"PR",""))</f>
        <v/>
      </c>
      <c r="I172" s="6"/>
    </row>
    <row r="173" customFormat="false" ht="15" hidden="false" customHeight="false" outlineLevel="0" collapsed="false">
      <c r="A173" s="9"/>
      <c r="B173" s="6"/>
      <c r="C173" s="6"/>
      <c r="D173" s="6"/>
      <c r="E173" s="6"/>
      <c r="F173" s="6"/>
      <c r="G173" s="11" t="str">
        <f aca="false">IF(OR(E173="",F173=""),"",ROUND(E173*(1+F173/30),1))</f>
        <v/>
      </c>
      <c r="H173" s="18" t="str">
        <f aca="false">IF(G173="","",IF(G173&gt;=_xlfn.MAXIFS($G$2:$G$501,$C$2:$C$501,C173),"PR",""))</f>
        <v/>
      </c>
      <c r="I173" s="6"/>
    </row>
    <row r="174" customFormat="false" ht="15" hidden="false" customHeight="false" outlineLevel="0" collapsed="false">
      <c r="A174" s="9"/>
      <c r="B174" s="6"/>
      <c r="C174" s="6"/>
      <c r="D174" s="6"/>
      <c r="E174" s="6"/>
      <c r="F174" s="6"/>
      <c r="G174" s="11" t="str">
        <f aca="false">IF(OR(E174="",F174=""),"",ROUND(E174*(1+F174/30),1))</f>
        <v/>
      </c>
      <c r="H174" s="18" t="str">
        <f aca="false">IF(G174="","",IF(G174&gt;=_xlfn.MAXIFS($G$2:$G$501,$C$2:$C$501,C174),"PR",""))</f>
        <v/>
      </c>
      <c r="I174" s="6"/>
    </row>
    <row r="175" customFormat="false" ht="15" hidden="false" customHeight="false" outlineLevel="0" collapsed="false">
      <c r="A175" s="9"/>
      <c r="B175" s="6"/>
      <c r="C175" s="6"/>
      <c r="D175" s="6"/>
      <c r="E175" s="6"/>
      <c r="F175" s="6"/>
      <c r="G175" s="11" t="str">
        <f aca="false">IF(OR(E175="",F175=""),"",ROUND(E175*(1+F175/30),1))</f>
        <v/>
      </c>
      <c r="H175" s="18" t="str">
        <f aca="false">IF(G175="","",IF(G175&gt;=_xlfn.MAXIFS($G$2:$G$501,$C$2:$C$501,C175),"PR",""))</f>
        <v/>
      </c>
      <c r="I175" s="6"/>
    </row>
    <row r="176" customFormat="false" ht="15" hidden="false" customHeight="false" outlineLevel="0" collapsed="false">
      <c r="A176" s="9"/>
      <c r="B176" s="6"/>
      <c r="C176" s="6"/>
      <c r="D176" s="6"/>
      <c r="E176" s="6"/>
      <c r="F176" s="6"/>
      <c r="G176" s="11" t="str">
        <f aca="false">IF(OR(E176="",F176=""),"",ROUND(E176*(1+F176/30),1))</f>
        <v/>
      </c>
      <c r="H176" s="18" t="str">
        <f aca="false">IF(G176="","",IF(G176&gt;=_xlfn.MAXIFS($G$2:$G$501,$C$2:$C$501,C176),"PR",""))</f>
        <v/>
      </c>
      <c r="I176" s="6"/>
    </row>
    <row r="177" customFormat="false" ht="15" hidden="false" customHeight="false" outlineLevel="0" collapsed="false">
      <c r="A177" s="9"/>
      <c r="B177" s="6"/>
      <c r="C177" s="6"/>
      <c r="D177" s="6"/>
      <c r="E177" s="6"/>
      <c r="F177" s="6"/>
      <c r="G177" s="11" t="str">
        <f aca="false">IF(OR(E177="",F177=""),"",ROUND(E177*(1+F177/30),1))</f>
        <v/>
      </c>
      <c r="H177" s="18" t="str">
        <f aca="false">IF(G177="","",IF(G177&gt;=_xlfn.MAXIFS($G$2:$G$501,$C$2:$C$501,C177),"PR",""))</f>
        <v/>
      </c>
      <c r="I177" s="6"/>
    </row>
    <row r="178" customFormat="false" ht="15" hidden="false" customHeight="false" outlineLevel="0" collapsed="false">
      <c r="A178" s="9"/>
      <c r="B178" s="6"/>
      <c r="C178" s="6"/>
      <c r="D178" s="6"/>
      <c r="E178" s="6"/>
      <c r="F178" s="6"/>
      <c r="G178" s="11" t="str">
        <f aca="false">IF(OR(E178="",F178=""),"",ROUND(E178*(1+F178/30),1))</f>
        <v/>
      </c>
      <c r="H178" s="18" t="str">
        <f aca="false">IF(G178="","",IF(G178&gt;=_xlfn.MAXIFS($G$2:$G$501,$C$2:$C$501,C178),"PR",""))</f>
        <v/>
      </c>
      <c r="I178" s="6"/>
    </row>
    <row r="179" customFormat="false" ht="15" hidden="false" customHeight="false" outlineLevel="0" collapsed="false">
      <c r="A179" s="9"/>
      <c r="B179" s="6"/>
      <c r="C179" s="6"/>
      <c r="D179" s="6"/>
      <c r="E179" s="6"/>
      <c r="F179" s="6"/>
      <c r="G179" s="11" t="str">
        <f aca="false">IF(OR(E179="",F179=""),"",ROUND(E179*(1+F179/30),1))</f>
        <v/>
      </c>
      <c r="H179" s="18" t="str">
        <f aca="false">IF(G179="","",IF(G179&gt;=_xlfn.MAXIFS($G$2:$G$501,$C$2:$C$501,C179),"PR",""))</f>
        <v/>
      </c>
      <c r="I179" s="6"/>
    </row>
    <row r="180" customFormat="false" ht="15" hidden="false" customHeight="false" outlineLevel="0" collapsed="false">
      <c r="A180" s="9"/>
      <c r="B180" s="6"/>
      <c r="C180" s="6"/>
      <c r="D180" s="6"/>
      <c r="E180" s="6"/>
      <c r="F180" s="6"/>
      <c r="G180" s="11" t="str">
        <f aca="false">IF(OR(E180="",F180=""),"",ROUND(E180*(1+F180/30),1))</f>
        <v/>
      </c>
      <c r="H180" s="18" t="str">
        <f aca="false">IF(G180="","",IF(G180&gt;=_xlfn.MAXIFS($G$2:$G$501,$C$2:$C$501,C180),"PR",""))</f>
        <v/>
      </c>
      <c r="I180" s="6"/>
    </row>
    <row r="181" customFormat="false" ht="15" hidden="false" customHeight="false" outlineLevel="0" collapsed="false">
      <c r="A181" s="9"/>
      <c r="B181" s="6"/>
      <c r="C181" s="6"/>
      <c r="D181" s="6"/>
      <c r="E181" s="6"/>
      <c r="F181" s="6"/>
      <c r="G181" s="11" t="str">
        <f aca="false">IF(OR(E181="",F181=""),"",ROUND(E181*(1+F181/30),1))</f>
        <v/>
      </c>
      <c r="H181" s="18" t="str">
        <f aca="false">IF(G181="","",IF(G181&gt;=_xlfn.MAXIFS($G$2:$G$501,$C$2:$C$501,C181),"PR",""))</f>
        <v/>
      </c>
      <c r="I181" s="6"/>
    </row>
    <row r="182" customFormat="false" ht="15" hidden="false" customHeight="false" outlineLevel="0" collapsed="false">
      <c r="A182" s="9"/>
      <c r="B182" s="6"/>
      <c r="C182" s="6"/>
      <c r="D182" s="6"/>
      <c r="E182" s="6"/>
      <c r="F182" s="6"/>
      <c r="G182" s="11" t="str">
        <f aca="false">IF(OR(E182="",F182=""),"",ROUND(E182*(1+F182/30),1))</f>
        <v/>
      </c>
      <c r="H182" s="18" t="str">
        <f aca="false">IF(G182="","",IF(G182&gt;=_xlfn.MAXIFS($G$2:$G$501,$C$2:$C$501,C182),"PR",""))</f>
        <v/>
      </c>
      <c r="I182" s="6"/>
    </row>
    <row r="183" customFormat="false" ht="15" hidden="false" customHeight="false" outlineLevel="0" collapsed="false">
      <c r="A183" s="9"/>
      <c r="B183" s="6"/>
      <c r="C183" s="6"/>
      <c r="D183" s="6"/>
      <c r="E183" s="6"/>
      <c r="F183" s="6"/>
      <c r="G183" s="11" t="str">
        <f aca="false">IF(OR(E183="",F183=""),"",ROUND(E183*(1+F183/30),1))</f>
        <v/>
      </c>
      <c r="H183" s="18" t="str">
        <f aca="false">IF(G183="","",IF(G183&gt;=_xlfn.MAXIFS($G$2:$G$501,$C$2:$C$501,C183),"PR",""))</f>
        <v/>
      </c>
      <c r="I183" s="6"/>
    </row>
    <row r="184" customFormat="false" ht="15" hidden="false" customHeight="false" outlineLevel="0" collapsed="false">
      <c r="A184" s="9"/>
      <c r="B184" s="6"/>
      <c r="C184" s="6"/>
      <c r="D184" s="6"/>
      <c r="E184" s="6"/>
      <c r="F184" s="6"/>
      <c r="G184" s="11" t="str">
        <f aca="false">IF(OR(E184="",F184=""),"",ROUND(E184*(1+F184/30),1))</f>
        <v/>
      </c>
      <c r="H184" s="18" t="str">
        <f aca="false">IF(G184="","",IF(G184&gt;=_xlfn.MAXIFS($G$2:$G$501,$C$2:$C$501,C184),"PR",""))</f>
        <v/>
      </c>
      <c r="I184" s="6"/>
    </row>
    <row r="185" customFormat="false" ht="15" hidden="false" customHeight="false" outlineLevel="0" collapsed="false">
      <c r="A185" s="9"/>
      <c r="B185" s="6"/>
      <c r="C185" s="6"/>
      <c r="D185" s="6"/>
      <c r="E185" s="6"/>
      <c r="F185" s="6"/>
      <c r="G185" s="11" t="str">
        <f aca="false">IF(OR(E185="",F185=""),"",ROUND(E185*(1+F185/30),1))</f>
        <v/>
      </c>
      <c r="H185" s="18" t="str">
        <f aca="false">IF(G185="","",IF(G185&gt;=_xlfn.MAXIFS($G$2:$G$501,$C$2:$C$501,C185),"PR",""))</f>
        <v/>
      </c>
      <c r="I185" s="6"/>
    </row>
    <row r="186" customFormat="false" ht="15" hidden="false" customHeight="false" outlineLevel="0" collapsed="false">
      <c r="A186" s="9"/>
      <c r="B186" s="6"/>
      <c r="C186" s="6"/>
      <c r="D186" s="6"/>
      <c r="E186" s="6"/>
      <c r="F186" s="6"/>
      <c r="G186" s="11" t="str">
        <f aca="false">IF(OR(E186="",F186=""),"",ROUND(E186*(1+F186/30),1))</f>
        <v/>
      </c>
      <c r="H186" s="18" t="str">
        <f aca="false">IF(G186="","",IF(G186&gt;=_xlfn.MAXIFS($G$2:$G$501,$C$2:$C$501,C186),"PR",""))</f>
        <v/>
      </c>
      <c r="I186" s="6"/>
    </row>
    <row r="187" customFormat="false" ht="15" hidden="false" customHeight="false" outlineLevel="0" collapsed="false">
      <c r="A187" s="9"/>
      <c r="B187" s="6"/>
      <c r="C187" s="6"/>
      <c r="D187" s="6"/>
      <c r="E187" s="6"/>
      <c r="F187" s="6"/>
      <c r="G187" s="11" t="str">
        <f aca="false">IF(OR(E187="",F187=""),"",ROUND(E187*(1+F187/30),1))</f>
        <v/>
      </c>
      <c r="H187" s="18" t="str">
        <f aca="false">IF(G187="","",IF(G187&gt;=_xlfn.MAXIFS($G$2:$G$501,$C$2:$C$501,C187),"PR",""))</f>
        <v/>
      </c>
      <c r="I187" s="6"/>
    </row>
    <row r="188" customFormat="false" ht="15" hidden="false" customHeight="false" outlineLevel="0" collapsed="false">
      <c r="A188" s="9"/>
      <c r="B188" s="6"/>
      <c r="C188" s="6"/>
      <c r="D188" s="6"/>
      <c r="E188" s="6"/>
      <c r="F188" s="6"/>
      <c r="G188" s="11" t="str">
        <f aca="false">IF(OR(E188="",F188=""),"",ROUND(E188*(1+F188/30),1))</f>
        <v/>
      </c>
      <c r="H188" s="18" t="str">
        <f aca="false">IF(G188="","",IF(G188&gt;=_xlfn.MAXIFS($G$2:$G$501,$C$2:$C$501,C188),"PR",""))</f>
        <v/>
      </c>
      <c r="I188" s="6"/>
    </row>
    <row r="189" customFormat="false" ht="15" hidden="false" customHeight="false" outlineLevel="0" collapsed="false">
      <c r="A189" s="9"/>
      <c r="B189" s="6"/>
      <c r="C189" s="6"/>
      <c r="D189" s="6"/>
      <c r="E189" s="6"/>
      <c r="F189" s="6"/>
      <c r="G189" s="11" t="str">
        <f aca="false">IF(OR(E189="",F189=""),"",ROUND(E189*(1+F189/30),1))</f>
        <v/>
      </c>
      <c r="H189" s="18" t="str">
        <f aca="false">IF(G189="","",IF(G189&gt;=_xlfn.MAXIFS($G$2:$G$501,$C$2:$C$501,C189),"PR",""))</f>
        <v/>
      </c>
      <c r="I189" s="6"/>
    </row>
    <row r="190" customFormat="false" ht="15" hidden="false" customHeight="false" outlineLevel="0" collapsed="false">
      <c r="A190" s="9"/>
      <c r="B190" s="6"/>
      <c r="C190" s="6"/>
      <c r="D190" s="6"/>
      <c r="E190" s="6"/>
      <c r="F190" s="6"/>
      <c r="G190" s="11" t="str">
        <f aca="false">IF(OR(E190="",F190=""),"",ROUND(E190*(1+F190/30),1))</f>
        <v/>
      </c>
      <c r="H190" s="18" t="str">
        <f aca="false">IF(G190="","",IF(G190&gt;=_xlfn.MAXIFS($G$2:$G$501,$C$2:$C$501,C190),"PR",""))</f>
        <v/>
      </c>
      <c r="I190" s="6"/>
    </row>
    <row r="191" customFormat="false" ht="15" hidden="false" customHeight="false" outlineLevel="0" collapsed="false">
      <c r="A191" s="9"/>
      <c r="B191" s="6"/>
      <c r="C191" s="6"/>
      <c r="D191" s="6"/>
      <c r="E191" s="6"/>
      <c r="F191" s="6"/>
      <c r="G191" s="11" t="str">
        <f aca="false">IF(OR(E191="",F191=""),"",ROUND(E191*(1+F191/30),1))</f>
        <v/>
      </c>
      <c r="H191" s="18" t="str">
        <f aca="false">IF(G191="","",IF(G191&gt;=_xlfn.MAXIFS($G$2:$G$501,$C$2:$C$501,C191),"PR",""))</f>
        <v/>
      </c>
      <c r="I191" s="6"/>
    </row>
    <row r="192" customFormat="false" ht="15" hidden="false" customHeight="false" outlineLevel="0" collapsed="false">
      <c r="A192" s="9"/>
      <c r="B192" s="6"/>
      <c r="C192" s="6"/>
      <c r="D192" s="6"/>
      <c r="E192" s="6"/>
      <c r="F192" s="6"/>
      <c r="G192" s="11" t="str">
        <f aca="false">IF(OR(E192="",F192=""),"",ROUND(E192*(1+F192/30),1))</f>
        <v/>
      </c>
      <c r="H192" s="18" t="str">
        <f aca="false">IF(G192="","",IF(G192&gt;=_xlfn.MAXIFS($G$2:$G$501,$C$2:$C$501,C192),"PR",""))</f>
        <v/>
      </c>
      <c r="I192" s="6"/>
    </row>
    <row r="193" customFormat="false" ht="15" hidden="false" customHeight="false" outlineLevel="0" collapsed="false">
      <c r="A193" s="9"/>
      <c r="B193" s="6"/>
      <c r="C193" s="6"/>
      <c r="D193" s="6"/>
      <c r="E193" s="6"/>
      <c r="F193" s="6"/>
      <c r="G193" s="11" t="str">
        <f aca="false">IF(OR(E193="",F193=""),"",ROUND(E193*(1+F193/30),1))</f>
        <v/>
      </c>
      <c r="H193" s="18" t="str">
        <f aca="false">IF(G193="","",IF(G193&gt;=_xlfn.MAXIFS($G$2:$G$501,$C$2:$C$501,C193),"PR",""))</f>
        <v/>
      </c>
      <c r="I193" s="6"/>
    </row>
    <row r="194" customFormat="false" ht="15" hidden="false" customHeight="false" outlineLevel="0" collapsed="false">
      <c r="A194" s="9"/>
      <c r="B194" s="6"/>
      <c r="C194" s="6"/>
      <c r="D194" s="6"/>
      <c r="E194" s="6"/>
      <c r="F194" s="6"/>
      <c r="G194" s="11" t="str">
        <f aca="false">IF(OR(E194="",F194=""),"",ROUND(E194*(1+F194/30),1))</f>
        <v/>
      </c>
      <c r="H194" s="18" t="str">
        <f aca="false">IF(G194="","",IF(G194&gt;=_xlfn.MAXIFS($G$2:$G$501,$C$2:$C$501,C194),"PR",""))</f>
        <v/>
      </c>
      <c r="I194" s="6"/>
    </row>
    <row r="195" customFormat="false" ht="15" hidden="false" customHeight="false" outlineLevel="0" collapsed="false">
      <c r="A195" s="9"/>
      <c r="B195" s="6"/>
      <c r="C195" s="6"/>
      <c r="D195" s="6"/>
      <c r="E195" s="6"/>
      <c r="F195" s="6"/>
      <c r="G195" s="11" t="str">
        <f aca="false">IF(OR(E195="",F195=""),"",ROUND(E195*(1+F195/30),1))</f>
        <v/>
      </c>
      <c r="H195" s="18" t="str">
        <f aca="false">IF(G195="","",IF(G195&gt;=_xlfn.MAXIFS($G$2:$G$501,$C$2:$C$501,C195),"PR",""))</f>
        <v/>
      </c>
      <c r="I195" s="6"/>
    </row>
    <row r="196" customFormat="false" ht="15" hidden="false" customHeight="false" outlineLevel="0" collapsed="false">
      <c r="A196" s="9"/>
      <c r="B196" s="6"/>
      <c r="C196" s="6"/>
      <c r="D196" s="6"/>
      <c r="E196" s="6"/>
      <c r="F196" s="6"/>
      <c r="G196" s="11" t="str">
        <f aca="false">IF(OR(E196="",F196=""),"",ROUND(E196*(1+F196/30),1))</f>
        <v/>
      </c>
      <c r="H196" s="18" t="str">
        <f aca="false">IF(G196="","",IF(G196&gt;=_xlfn.MAXIFS($G$2:$G$501,$C$2:$C$501,C196),"PR",""))</f>
        <v/>
      </c>
      <c r="I196" s="6"/>
    </row>
    <row r="197" customFormat="false" ht="15" hidden="false" customHeight="false" outlineLevel="0" collapsed="false">
      <c r="A197" s="9"/>
      <c r="B197" s="6"/>
      <c r="C197" s="6"/>
      <c r="D197" s="6"/>
      <c r="E197" s="6"/>
      <c r="F197" s="6"/>
      <c r="G197" s="11" t="str">
        <f aca="false">IF(OR(E197="",F197=""),"",ROUND(E197*(1+F197/30),1))</f>
        <v/>
      </c>
      <c r="H197" s="18" t="str">
        <f aca="false">IF(G197="","",IF(G197&gt;=_xlfn.MAXIFS($G$2:$G$501,$C$2:$C$501,C197),"PR",""))</f>
        <v/>
      </c>
      <c r="I197" s="6"/>
    </row>
    <row r="198" customFormat="false" ht="15" hidden="false" customHeight="false" outlineLevel="0" collapsed="false">
      <c r="A198" s="9"/>
      <c r="B198" s="6"/>
      <c r="C198" s="6"/>
      <c r="D198" s="6"/>
      <c r="E198" s="6"/>
      <c r="F198" s="6"/>
      <c r="G198" s="11" t="str">
        <f aca="false">IF(OR(E198="",F198=""),"",ROUND(E198*(1+F198/30),1))</f>
        <v/>
      </c>
      <c r="H198" s="18" t="str">
        <f aca="false">IF(G198="","",IF(G198&gt;=_xlfn.MAXIFS($G$2:$G$501,$C$2:$C$501,C198),"PR",""))</f>
        <v/>
      </c>
      <c r="I198" s="6"/>
    </row>
    <row r="199" customFormat="false" ht="15" hidden="false" customHeight="false" outlineLevel="0" collapsed="false">
      <c r="A199" s="9"/>
      <c r="B199" s="6"/>
      <c r="C199" s="6"/>
      <c r="D199" s="6"/>
      <c r="E199" s="6"/>
      <c r="F199" s="6"/>
      <c r="G199" s="11" t="str">
        <f aca="false">IF(OR(E199="",F199=""),"",ROUND(E199*(1+F199/30),1))</f>
        <v/>
      </c>
      <c r="H199" s="18" t="str">
        <f aca="false">IF(G199="","",IF(G199&gt;=_xlfn.MAXIFS($G$2:$G$501,$C$2:$C$501,C199),"PR",""))</f>
        <v/>
      </c>
      <c r="I199" s="6"/>
    </row>
    <row r="200" customFormat="false" ht="15" hidden="false" customHeight="false" outlineLevel="0" collapsed="false">
      <c r="A200" s="9"/>
      <c r="B200" s="6"/>
      <c r="C200" s="6"/>
      <c r="D200" s="6"/>
      <c r="E200" s="6"/>
      <c r="F200" s="6"/>
      <c r="G200" s="11" t="str">
        <f aca="false">IF(OR(E200="",F200=""),"",ROUND(E200*(1+F200/30),1))</f>
        <v/>
      </c>
      <c r="H200" s="18" t="str">
        <f aca="false">IF(G200="","",IF(G200&gt;=_xlfn.MAXIFS($G$2:$G$501,$C$2:$C$501,C200),"PR",""))</f>
        <v/>
      </c>
      <c r="I200" s="6"/>
    </row>
    <row r="201" customFormat="false" ht="15" hidden="false" customHeight="false" outlineLevel="0" collapsed="false">
      <c r="A201" s="9"/>
      <c r="B201" s="6"/>
      <c r="C201" s="6"/>
      <c r="D201" s="6"/>
      <c r="E201" s="6"/>
      <c r="F201" s="6"/>
      <c r="G201" s="11" t="str">
        <f aca="false">IF(OR(E201="",F201=""),"",ROUND(E201*(1+F201/30),1))</f>
        <v/>
      </c>
      <c r="H201" s="18" t="str">
        <f aca="false">IF(G201="","",IF(G201&gt;=_xlfn.MAXIFS($G$2:$G$501,$C$2:$C$501,C201),"PR",""))</f>
        <v/>
      </c>
      <c r="I201" s="6"/>
    </row>
    <row r="202" customFormat="false" ht="15" hidden="false" customHeight="false" outlineLevel="0" collapsed="false">
      <c r="A202" s="9"/>
      <c r="B202" s="6"/>
      <c r="C202" s="6"/>
      <c r="D202" s="6"/>
      <c r="E202" s="6"/>
      <c r="F202" s="6"/>
      <c r="G202" s="11" t="str">
        <f aca="false">IF(OR(E202="",F202=""),"",ROUND(E202*(1+F202/30),1))</f>
        <v/>
      </c>
      <c r="H202" s="18" t="str">
        <f aca="false">IF(G202="","",IF(G202&gt;=_xlfn.MAXIFS($G$2:$G$501,$C$2:$C$501,C202),"PR",""))</f>
        <v/>
      </c>
      <c r="I202" s="6"/>
    </row>
    <row r="203" customFormat="false" ht="15" hidden="false" customHeight="false" outlineLevel="0" collapsed="false">
      <c r="A203" s="9"/>
      <c r="B203" s="6"/>
      <c r="C203" s="6"/>
      <c r="D203" s="6"/>
      <c r="E203" s="6"/>
      <c r="F203" s="6"/>
      <c r="G203" s="11" t="str">
        <f aca="false">IF(OR(E203="",F203=""),"",ROUND(E203*(1+F203/30),1))</f>
        <v/>
      </c>
      <c r="H203" s="18" t="str">
        <f aca="false">IF(G203="","",IF(G203&gt;=_xlfn.MAXIFS($G$2:$G$501,$C$2:$C$501,C203),"PR",""))</f>
        <v/>
      </c>
      <c r="I203" s="6"/>
    </row>
    <row r="204" customFormat="false" ht="15" hidden="false" customHeight="false" outlineLevel="0" collapsed="false">
      <c r="A204" s="9"/>
      <c r="B204" s="6"/>
      <c r="C204" s="6"/>
      <c r="D204" s="6"/>
      <c r="E204" s="6"/>
      <c r="F204" s="6"/>
      <c r="G204" s="11" t="str">
        <f aca="false">IF(OR(E204="",F204=""),"",ROUND(E204*(1+F204/30),1))</f>
        <v/>
      </c>
      <c r="H204" s="18" t="str">
        <f aca="false">IF(G204="","",IF(G204&gt;=_xlfn.MAXIFS($G$2:$G$501,$C$2:$C$501,C204),"PR",""))</f>
        <v/>
      </c>
      <c r="I204" s="6"/>
    </row>
    <row r="205" customFormat="false" ht="15" hidden="false" customHeight="false" outlineLevel="0" collapsed="false">
      <c r="A205" s="9"/>
      <c r="B205" s="6"/>
      <c r="C205" s="6"/>
      <c r="D205" s="6"/>
      <c r="E205" s="6"/>
      <c r="F205" s="6"/>
      <c r="G205" s="11" t="str">
        <f aca="false">IF(OR(E205="",F205=""),"",ROUND(E205*(1+F205/30),1))</f>
        <v/>
      </c>
      <c r="H205" s="18" t="str">
        <f aca="false">IF(G205="","",IF(G205&gt;=_xlfn.MAXIFS($G$2:$G$501,$C$2:$C$501,C205),"PR",""))</f>
        <v/>
      </c>
      <c r="I205" s="6"/>
    </row>
    <row r="206" customFormat="false" ht="15" hidden="false" customHeight="false" outlineLevel="0" collapsed="false">
      <c r="A206" s="9"/>
      <c r="B206" s="6"/>
      <c r="C206" s="6"/>
      <c r="D206" s="6"/>
      <c r="E206" s="6"/>
      <c r="F206" s="6"/>
      <c r="G206" s="11" t="str">
        <f aca="false">IF(OR(E206="",F206=""),"",ROUND(E206*(1+F206/30),1))</f>
        <v/>
      </c>
      <c r="H206" s="18" t="str">
        <f aca="false">IF(G206="","",IF(G206&gt;=_xlfn.MAXIFS($G$2:$G$501,$C$2:$C$501,C206),"PR",""))</f>
        <v/>
      </c>
      <c r="I206" s="6"/>
    </row>
    <row r="207" customFormat="false" ht="15" hidden="false" customHeight="false" outlineLevel="0" collapsed="false">
      <c r="A207" s="9"/>
      <c r="B207" s="6"/>
      <c r="C207" s="6"/>
      <c r="D207" s="6"/>
      <c r="E207" s="6"/>
      <c r="F207" s="6"/>
      <c r="G207" s="11" t="str">
        <f aca="false">IF(OR(E207="",F207=""),"",ROUND(E207*(1+F207/30),1))</f>
        <v/>
      </c>
      <c r="H207" s="18" t="str">
        <f aca="false">IF(G207="","",IF(G207&gt;=_xlfn.MAXIFS($G$2:$G$501,$C$2:$C$501,C207),"PR",""))</f>
        <v/>
      </c>
      <c r="I207" s="6"/>
    </row>
    <row r="208" customFormat="false" ht="15" hidden="false" customHeight="false" outlineLevel="0" collapsed="false">
      <c r="A208" s="9"/>
      <c r="B208" s="6"/>
      <c r="C208" s="6"/>
      <c r="D208" s="6"/>
      <c r="E208" s="6"/>
      <c r="F208" s="6"/>
      <c r="G208" s="11" t="str">
        <f aca="false">IF(OR(E208="",F208=""),"",ROUND(E208*(1+F208/30),1))</f>
        <v/>
      </c>
      <c r="H208" s="18" t="str">
        <f aca="false">IF(G208="","",IF(G208&gt;=_xlfn.MAXIFS($G$2:$G$501,$C$2:$C$501,C208),"PR",""))</f>
        <v/>
      </c>
      <c r="I208" s="6"/>
    </row>
    <row r="209" customFormat="false" ht="15" hidden="false" customHeight="false" outlineLevel="0" collapsed="false">
      <c r="A209" s="9"/>
      <c r="B209" s="6"/>
      <c r="C209" s="6"/>
      <c r="D209" s="6"/>
      <c r="E209" s="6"/>
      <c r="F209" s="6"/>
      <c r="G209" s="11" t="str">
        <f aca="false">IF(OR(E209="",F209=""),"",ROUND(E209*(1+F209/30),1))</f>
        <v/>
      </c>
      <c r="H209" s="18" t="str">
        <f aca="false">IF(G209="","",IF(G209&gt;=_xlfn.MAXIFS($G$2:$G$501,$C$2:$C$501,C209),"PR",""))</f>
        <v/>
      </c>
      <c r="I209" s="6"/>
    </row>
    <row r="210" customFormat="false" ht="15" hidden="false" customHeight="false" outlineLevel="0" collapsed="false">
      <c r="A210" s="9"/>
      <c r="B210" s="6"/>
      <c r="C210" s="6"/>
      <c r="D210" s="6"/>
      <c r="E210" s="6"/>
      <c r="F210" s="6"/>
      <c r="G210" s="11" t="str">
        <f aca="false">IF(OR(E210="",F210=""),"",ROUND(E210*(1+F210/30),1))</f>
        <v/>
      </c>
      <c r="H210" s="18" t="str">
        <f aca="false">IF(G210="","",IF(G210&gt;=_xlfn.MAXIFS($G$2:$G$501,$C$2:$C$501,C210),"PR",""))</f>
        <v/>
      </c>
      <c r="I210" s="6"/>
    </row>
    <row r="211" customFormat="false" ht="15" hidden="false" customHeight="false" outlineLevel="0" collapsed="false">
      <c r="A211" s="9"/>
      <c r="B211" s="6"/>
      <c r="C211" s="6"/>
      <c r="D211" s="6"/>
      <c r="E211" s="6"/>
      <c r="F211" s="6"/>
      <c r="G211" s="11" t="str">
        <f aca="false">IF(OR(E211="",F211=""),"",ROUND(E211*(1+F211/30),1))</f>
        <v/>
      </c>
      <c r="H211" s="18" t="str">
        <f aca="false">IF(G211="","",IF(G211&gt;=_xlfn.MAXIFS($G$2:$G$501,$C$2:$C$501,C211),"PR",""))</f>
        <v/>
      </c>
      <c r="I211" s="6"/>
    </row>
    <row r="212" customFormat="false" ht="15" hidden="false" customHeight="false" outlineLevel="0" collapsed="false">
      <c r="A212" s="9"/>
      <c r="B212" s="6"/>
      <c r="C212" s="6"/>
      <c r="D212" s="6"/>
      <c r="E212" s="6"/>
      <c r="F212" s="6"/>
      <c r="G212" s="11" t="str">
        <f aca="false">IF(OR(E212="",F212=""),"",ROUND(E212*(1+F212/30),1))</f>
        <v/>
      </c>
      <c r="H212" s="18" t="str">
        <f aca="false">IF(G212="","",IF(G212&gt;=_xlfn.MAXIFS($G$2:$G$501,$C$2:$C$501,C212),"PR",""))</f>
        <v/>
      </c>
      <c r="I212" s="6"/>
    </row>
    <row r="213" customFormat="false" ht="15" hidden="false" customHeight="false" outlineLevel="0" collapsed="false">
      <c r="A213" s="9"/>
      <c r="B213" s="6"/>
      <c r="C213" s="6"/>
      <c r="D213" s="6"/>
      <c r="E213" s="6"/>
      <c r="F213" s="6"/>
      <c r="G213" s="11" t="str">
        <f aca="false">IF(OR(E213="",F213=""),"",ROUND(E213*(1+F213/30),1))</f>
        <v/>
      </c>
      <c r="H213" s="18" t="str">
        <f aca="false">IF(G213="","",IF(G213&gt;=_xlfn.MAXIFS($G$2:$G$501,$C$2:$C$501,C213),"PR",""))</f>
        <v/>
      </c>
      <c r="I213" s="6"/>
    </row>
    <row r="214" customFormat="false" ht="15" hidden="false" customHeight="false" outlineLevel="0" collapsed="false">
      <c r="A214" s="9"/>
      <c r="B214" s="6"/>
      <c r="C214" s="6"/>
      <c r="D214" s="6"/>
      <c r="E214" s="6"/>
      <c r="F214" s="6"/>
      <c r="G214" s="11" t="str">
        <f aca="false">IF(OR(E214="",F214=""),"",ROUND(E214*(1+F214/30),1))</f>
        <v/>
      </c>
      <c r="H214" s="18" t="str">
        <f aca="false">IF(G214="","",IF(G214&gt;=_xlfn.MAXIFS($G$2:$G$501,$C$2:$C$501,C214),"PR",""))</f>
        <v/>
      </c>
      <c r="I214" s="6"/>
    </row>
    <row r="215" customFormat="false" ht="15" hidden="false" customHeight="false" outlineLevel="0" collapsed="false">
      <c r="A215" s="9"/>
      <c r="B215" s="6"/>
      <c r="C215" s="6"/>
      <c r="D215" s="6"/>
      <c r="E215" s="6"/>
      <c r="F215" s="6"/>
      <c r="G215" s="11" t="str">
        <f aca="false">IF(OR(E215="",F215=""),"",ROUND(E215*(1+F215/30),1))</f>
        <v/>
      </c>
      <c r="H215" s="18" t="str">
        <f aca="false">IF(G215="","",IF(G215&gt;=_xlfn.MAXIFS($G$2:$G$501,$C$2:$C$501,C215),"PR",""))</f>
        <v/>
      </c>
      <c r="I215" s="6"/>
    </row>
    <row r="216" customFormat="false" ht="15" hidden="false" customHeight="false" outlineLevel="0" collapsed="false">
      <c r="A216" s="9"/>
      <c r="B216" s="6"/>
      <c r="C216" s="6"/>
      <c r="D216" s="6"/>
      <c r="E216" s="6"/>
      <c r="F216" s="6"/>
      <c r="G216" s="11" t="str">
        <f aca="false">IF(OR(E216="",F216=""),"",ROUND(E216*(1+F216/30),1))</f>
        <v/>
      </c>
      <c r="H216" s="18" t="str">
        <f aca="false">IF(G216="","",IF(G216&gt;=_xlfn.MAXIFS($G$2:$G$501,$C$2:$C$501,C216),"PR",""))</f>
        <v/>
      </c>
      <c r="I216" s="6"/>
    </row>
    <row r="217" customFormat="false" ht="15" hidden="false" customHeight="false" outlineLevel="0" collapsed="false">
      <c r="A217" s="9"/>
      <c r="B217" s="6"/>
      <c r="C217" s="6"/>
      <c r="D217" s="6"/>
      <c r="E217" s="6"/>
      <c r="F217" s="6"/>
      <c r="G217" s="11" t="str">
        <f aca="false">IF(OR(E217="",F217=""),"",ROUND(E217*(1+F217/30),1))</f>
        <v/>
      </c>
      <c r="H217" s="18" t="str">
        <f aca="false">IF(G217="","",IF(G217&gt;=_xlfn.MAXIFS($G$2:$G$501,$C$2:$C$501,C217),"PR",""))</f>
        <v/>
      </c>
      <c r="I217" s="6"/>
    </row>
    <row r="218" customFormat="false" ht="15" hidden="false" customHeight="false" outlineLevel="0" collapsed="false">
      <c r="A218" s="9"/>
      <c r="B218" s="6"/>
      <c r="C218" s="6"/>
      <c r="D218" s="6"/>
      <c r="E218" s="6"/>
      <c r="F218" s="6"/>
      <c r="G218" s="11" t="str">
        <f aca="false">IF(OR(E218="",F218=""),"",ROUND(E218*(1+F218/30),1))</f>
        <v/>
      </c>
      <c r="H218" s="18" t="str">
        <f aca="false">IF(G218="","",IF(G218&gt;=_xlfn.MAXIFS($G$2:$G$501,$C$2:$C$501,C218),"PR",""))</f>
        <v/>
      </c>
      <c r="I218" s="6"/>
    </row>
    <row r="219" customFormat="false" ht="15" hidden="false" customHeight="false" outlineLevel="0" collapsed="false">
      <c r="A219" s="9"/>
      <c r="B219" s="6"/>
      <c r="C219" s="6"/>
      <c r="D219" s="6"/>
      <c r="E219" s="6"/>
      <c r="F219" s="6"/>
      <c r="G219" s="11" t="str">
        <f aca="false">IF(OR(E219="",F219=""),"",ROUND(E219*(1+F219/30),1))</f>
        <v/>
      </c>
      <c r="H219" s="18" t="str">
        <f aca="false">IF(G219="","",IF(G219&gt;=_xlfn.MAXIFS($G$2:$G$501,$C$2:$C$501,C219),"PR",""))</f>
        <v/>
      </c>
      <c r="I219" s="6"/>
    </row>
    <row r="220" customFormat="false" ht="15" hidden="false" customHeight="false" outlineLevel="0" collapsed="false">
      <c r="A220" s="9"/>
      <c r="B220" s="6"/>
      <c r="C220" s="6"/>
      <c r="D220" s="6"/>
      <c r="E220" s="6"/>
      <c r="F220" s="6"/>
      <c r="G220" s="11" t="str">
        <f aca="false">IF(OR(E220="",F220=""),"",ROUND(E220*(1+F220/30),1))</f>
        <v/>
      </c>
      <c r="H220" s="18" t="str">
        <f aca="false">IF(G220="","",IF(G220&gt;=_xlfn.MAXIFS($G$2:$G$501,$C$2:$C$501,C220),"PR",""))</f>
        <v/>
      </c>
      <c r="I220" s="6"/>
    </row>
    <row r="221" customFormat="false" ht="15" hidden="false" customHeight="false" outlineLevel="0" collapsed="false">
      <c r="A221" s="9"/>
      <c r="B221" s="6"/>
      <c r="C221" s="6"/>
      <c r="D221" s="6"/>
      <c r="E221" s="6"/>
      <c r="F221" s="6"/>
      <c r="G221" s="11" t="str">
        <f aca="false">IF(OR(E221="",F221=""),"",ROUND(E221*(1+F221/30),1))</f>
        <v/>
      </c>
      <c r="H221" s="18" t="str">
        <f aca="false">IF(G221="","",IF(G221&gt;=_xlfn.MAXIFS($G$2:$G$501,$C$2:$C$501,C221),"PR",""))</f>
        <v/>
      </c>
      <c r="I221" s="6"/>
    </row>
    <row r="222" customFormat="false" ht="15" hidden="false" customHeight="false" outlineLevel="0" collapsed="false">
      <c r="A222" s="9"/>
      <c r="B222" s="6"/>
      <c r="C222" s="6"/>
      <c r="D222" s="6"/>
      <c r="E222" s="6"/>
      <c r="F222" s="6"/>
      <c r="G222" s="11" t="str">
        <f aca="false">IF(OR(E222="",F222=""),"",ROUND(E222*(1+F222/30),1))</f>
        <v/>
      </c>
      <c r="H222" s="18" t="str">
        <f aca="false">IF(G222="","",IF(G222&gt;=_xlfn.MAXIFS($G$2:$G$501,$C$2:$C$501,C222),"PR",""))</f>
        <v/>
      </c>
      <c r="I222" s="6"/>
    </row>
    <row r="223" customFormat="false" ht="15" hidden="false" customHeight="false" outlineLevel="0" collapsed="false">
      <c r="A223" s="9"/>
      <c r="B223" s="6"/>
      <c r="C223" s="6"/>
      <c r="D223" s="6"/>
      <c r="E223" s="6"/>
      <c r="F223" s="6"/>
      <c r="G223" s="11" t="str">
        <f aca="false">IF(OR(E223="",F223=""),"",ROUND(E223*(1+F223/30),1))</f>
        <v/>
      </c>
      <c r="H223" s="18" t="str">
        <f aca="false">IF(G223="","",IF(G223&gt;=_xlfn.MAXIFS($G$2:$G$501,$C$2:$C$501,C223),"PR",""))</f>
        <v/>
      </c>
      <c r="I223" s="6"/>
    </row>
    <row r="224" customFormat="false" ht="15" hidden="false" customHeight="false" outlineLevel="0" collapsed="false">
      <c r="A224" s="9"/>
      <c r="B224" s="6"/>
      <c r="C224" s="6"/>
      <c r="D224" s="6"/>
      <c r="E224" s="6"/>
      <c r="F224" s="6"/>
      <c r="G224" s="11" t="str">
        <f aca="false">IF(OR(E224="",F224=""),"",ROUND(E224*(1+F224/30),1))</f>
        <v/>
      </c>
      <c r="H224" s="18" t="str">
        <f aca="false">IF(G224="","",IF(G224&gt;=_xlfn.MAXIFS($G$2:$G$501,$C$2:$C$501,C224),"PR",""))</f>
        <v/>
      </c>
      <c r="I224" s="6"/>
    </row>
    <row r="225" customFormat="false" ht="15" hidden="false" customHeight="false" outlineLevel="0" collapsed="false">
      <c r="A225" s="9"/>
      <c r="B225" s="6"/>
      <c r="C225" s="6"/>
      <c r="D225" s="6"/>
      <c r="E225" s="6"/>
      <c r="F225" s="6"/>
      <c r="G225" s="11" t="str">
        <f aca="false">IF(OR(E225="",F225=""),"",ROUND(E225*(1+F225/30),1))</f>
        <v/>
      </c>
      <c r="H225" s="18" t="str">
        <f aca="false">IF(G225="","",IF(G225&gt;=_xlfn.MAXIFS($G$2:$G$501,$C$2:$C$501,C225),"PR",""))</f>
        <v/>
      </c>
      <c r="I225" s="6"/>
    </row>
    <row r="226" customFormat="false" ht="15" hidden="false" customHeight="false" outlineLevel="0" collapsed="false">
      <c r="A226" s="9"/>
      <c r="B226" s="6"/>
      <c r="C226" s="6"/>
      <c r="D226" s="6"/>
      <c r="E226" s="6"/>
      <c r="F226" s="6"/>
      <c r="G226" s="11" t="str">
        <f aca="false">IF(OR(E226="",F226=""),"",ROUND(E226*(1+F226/30),1))</f>
        <v/>
      </c>
      <c r="H226" s="18" t="str">
        <f aca="false">IF(G226="","",IF(G226&gt;=_xlfn.MAXIFS($G$2:$G$501,$C$2:$C$501,C226),"PR",""))</f>
        <v/>
      </c>
      <c r="I226" s="6"/>
    </row>
    <row r="227" customFormat="false" ht="15" hidden="false" customHeight="false" outlineLevel="0" collapsed="false">
      <c r="A227" s="9"/>
      <c r="B227" s="6"/>
      <c r="C227" s="6"/>
      <c r="D227" s="6"/>
      <c r="E227" s="6"/>
      <c r="F227" s="6"/>
      <c r="G227" s="11" t="str">
        <f aca="false">IF(OR(E227="",F227=""),"",ROUND(E227*(1+F227/30),1))</f>
        <v/>
      </c>
      <c r="H227" s="18" t="str">
        <f aca="false">IF(G227="","",IF(G227&gt;=_xlfn.MAXIFS($G$2:$G$501,$C$2:$C$501,C227),"PR",""))</f>
        <v/>
      </c>
      <c r="I227" s="6"/>
    </row>
    <row r="228" customFormat="false" ht="15" hidden="false" customHeight="false" outlineLevel="0" collapsed="false">
      <c r="A228" s="9"/>
      <c r="B228" s="6"/>
      <c r="C228" s="6"/>
      <c r="D228" s="6"/>
      <c r="E228" s="6"/>
      <c r="F228" s="6"/>
      <c r="G228" s="11" t="str">
        <f aca="false">IF(OR(E228="",F228=""),"",ROUND(E228*(1+F228/30),1))</f>
        <v/>
      </c>
      <c r="H228" s="18" t="str">
        <f aca="false">IF(G228="","",IF(G228&gt;=_xlfn.MAXIFS($G$2:$G$501,$C$2:$C$501,C228),"PR",""))</f>
        <v/>
      </c>
      <c r="I228" s="6"/>
    </row>
    <row r="229" customFormat="false" ht="15" hidden="false" customHeight="false" outlineLevel="0" collapsed="false">
      <c r="A229" s="9"/>
      <c r="B229" s="6"/>
      <c r="C229" s="6"/>
      <c r="D229" s="6"/>
      <c r="E229" s="6"/>
      <c r="F229" s="6"/>
      <c r="G229" s="11" t="str">
        <f aca="false">IF(OR(E229="",F229=""),"",ROUND(E229*(1+F229/30),1))</f>
        <v/>
      </c>
      <c r="H229" s="18" t="str">
        <f aca="false">IF(G229="","",IF(G229&gt;=_xlfn.MAXIFS($G$2:$G$501,$C$2:$C$501,C229),"PR",""))</f>
        <v/>
      </c>
      <c r="I229" s="6"/>
    </row>
    <row r="230" customFormat="false" ht="15" hidden="false" customHeight="false" outlineLevel="0" collapsed="false">
      <c r="A230" s="9"/>
      <c r="B230" s="6"/>
      <c r="C230" s="6"/>
      <c r="D230" s="6"/>
      <c r="E230" s="6"/>
      <c r="F230" s="6"/>
      <c r="G230" s="11" t="str">
        <f aca="false">IF(OR(E230="",F230=""),"",ROUND(E230*(1+F230/30),1))</f>
        <v/>
      </c>
      <c r="H230" s="18" t="str">
        <f aca="false">IF(G230="","",IF(G230&gt;=_xlfn.MAXIFS($G$2:$G$501,$C$2:$C$501,C230),"PR",""))</f>
        <v/>
      </c>
      <c r="I230" s="6"/>
    </row>
    <row r="231" customFormat="false" ht="15" hidden="false" customHeight="false" outlineLevel="0" collapsed="false">
      <c r="A231" s="9"/>
      <c r="B231" s="6"/>
      <c r="C231" s="6"/>
      <c r="D231" s="6"/>
      <c r="E231" s="6"/>
      <c r="F231" s="6"/>
      <c r="G231" s="11" t="str">
        <f aca="false">IF(OR(E231="",F231=""),"",ROUND(E231*(1+F231/30),1))</f>
        <v/>
      </c>
      <c r="H231" s="18" t="str">
        <f aca="false">IF(G231="","",IF(G231&gt;=_xlfn.MAXIFS($G$2:$G$501,$C$2:$C$501,C231),"PR",""))</f>
        <v/>
      </c>
      <c r="I231" s="6"/>
    </row>
    <row r="232" customFormat="false" ht="15" hidden="false" customHeight="false" outlineLevel="0" collapsed="false">
      <c r="A232" s="9"/>
      <c r="B232" s="6"/>
      <c r="C232" s="6"/>
      <c r="D232" s="6"/>
      <c r="E232" s="6"/>
      <c r="F232" s="6"/>
      <c r="G232" s="11" t="str">
        <f aca="false">IF(OR(E232="",F232=""),"",ROUND(E232*(1+F232/30),1))</f>
        <v/>
      </c>
      <c r="H232" s="18" t="str">
        <f aca="false">IF(G232="","",IF(G232&gt;=_xlfn.MAXIFS($G$2:$G$501,$C$2:$C$501,C232),"PR",""))</f>
        <v/>
      </c>
      <c r="I232" s="6"/>
    </row>
    <row r="233" customFormat="false" ht="15" hidden="false" customHeight="false" outlineLevel="0" collapsed="false">
      <c r="A233" s="9"/>
      <c r="B233" s="6"/>
      <c r="C233" s="6"/>
      <c r="D233" s="6"/>
      <c r="E233" s="6"/>
      <c r="F233" s="6"/>
      <c r="G233" s="11" t="str">
        <f aca="false">IF(OR(E233="",F233=""),"",ROUND(E233*(1+F233/30),1))</f>
        <v/>
      </c>
      <c r="H233" s="18" t="str">
        <f aca="false">IF(G233="","",IF(G233&gt;=_xlfn.MAXIFS($G$2:$G$501,$C$2:$C$501,C233),"PR",""))</f>
        <v/>
      </c>
      <c r="I233" s="6"/>
    </row>
    <row r="234" customFormat="false" ht="15" hidden="false" customHeight="false" outlineLevel="0" collapsed="false">
      <c r="A234" s="9"/>
      <c r="B234" s="6"/>
      <c r="C234" s="6"/>
      <c r="D234" s="6"/>
      <c r="E234" s="6"/>
      <c r="F234" s="6"/>
      <c r="G234" s="11" t="str">
        <f aca="false">IF(OR(E234="",F234=""),"",ROUND(E234*(1+F234/30),1))</f>
        <v/>
      </c>
      <c r="H234" s="18" t="str">
        <f aca="false">IF(G234="","",IF(G234&gt;=_xlfn.MAXIFS($G$2:$G$501,$C$2:$C$501,C234),"PR",""))</f>
        <v/>
      </c>
      <c r="I234" s="6"/>
    </row>
    <row r="235" customFormat="false" ht="15" hidden="false" customHeight="false" outlineLevel="0" collapsed="false">
      <c r="A235" s="9"/>
      <c r="B235" s="6"/>
      <c r="C235" s="6"/>
      <c r="D235" s="6"/>
      <c r="E235" s="6"/>
      <c r="F235" s="6"/>
      <c r="G235" s="11" t="str">
        <f aca="false">IF(OR(E235="",F235=""),"",ROUND(E235*(1+F235/30),1))</f>
        <v/>
      </c>
      <c r="H235" s="18" t="str">
        <f aca="false">IF(G235="","",IF(G235&gt;=_xlfn.MAXIFS($G$2:$G$501,$C$2:$C$501,C235),"PR",""))</f>
        <v/>
      </c>
      <c r="I235" s="6"/>
    </row>
    <row r="236" customFormat="false" ht="15" hidden="false" customHeight="false" outlineLevel="0" collapsed="false">
      <c r="A236" s="9"/>
      <c r="B236" s="6"/>
      <c r="C236" s="6"/>
      <c r="D236" s="6"/>
      <c r="E236" s="6"/>
      <c r="F236" s="6"/>
      <c r="G236" s="11" t="str">
        <f aca="false">IF(OR(E236="",F236=""),"",ROUND(E236*(1+F236/30),1))</f>
        <v/>
      </c>
      <c r="H236" s="18" t="str">
        <f aca="false">IF(G236="","",IF(G236&gt;=_xlfn.MAXIFS($G$2:$G$501,$C$2:$C$501,C236),"PR",""))</f>
        <v/>
      </c>
      <c r="I236" s="6"/>
    </row>
    <row r="237" customFormat="false" ht="15" hidden="false" customHeight="false" outlineLevel="0" collapsed="false">
      <c r="A237" s="9"/>
      <c r="B237" s="6"/>
      <c r="C237" s="6"/>
      <c r="D237" s="6"/>
      <c r="E237" s="6"/>
      <c r="F237" s="6"/>
      <c r="G237" s="11" t="str">
        <f aca="false">IF(OR(E237="",F237=""),"",ROUND(E237*(1+F237/30),1))</f>
        <v/>
      </c>
      <c r="H237" s="18" t="str">
        <f aca="false">IF(G237="","",IF(G237&gt;=_xlfn.MAXIFS($G$2:$G$501,$C$2:$C$501,C237),"PR",""))</f>
        <v/>
      </c>
      <c r="I237" s="6"/>
    </row>
    <row r="238" customFormat="false" ht="15" hidden="false" customHeight="false" outlineLevel="0" collapsed="false">
      <c r="A238" s="9"/>
      <c r="B238" s="6"/>
      <c r="C238" s="6"/>
      <c r="D238" s="6"/>
      <c r="E238" s="6"/>
      <c r="F238" s="6"/>
      <c r="G238" s="11" t="str">
        <f aca="false">IF(OR(E238="",F238=""),"",ROUND(E238*(1+F238/30),1))</f>
        <v/>
      </c>
      <c r="H238" s="18" t="str">
        <f aca="false">IF(G238="","",IF(G238&gt;=_xlfn.MAXIFS($G$2:$G$501,$C$2:$C$501,C238),"PR",""))</f>
        <v/>
      </c>
      <c r="I238" s="6"/>
    </row>
    <row r="239" customFormat="false" ht="15" hidden="false" customHeight="false" outlineLevel="0" collapsed="false">
      <c r="A239" s="9"/>
      <c r="B239" s="6"/>
      <c r="C239" s="6"/>
      <c r="D239" s="6"/>
      <c r="E239" s="6"/>
      <c r="F239" s="6"/>
      <c r="G239" s="11" t="str">
        <f aca="false">IF(OR(E239="",F239=""),"",ROUND(E239*(1+F239/30),1))</f>
        <v/>
      </c>
      <c r="H239" s="18" t="str">
        <f aca="false">IF(G239="","",IF(G239&gt;=_xlfn.MAXIFS($G$2:$G$501,$C$2:$C$501,C239),"PR",""))</f>
        <v/>
      </c>
      <c r="I239" s="6"/>
    </row>
    <row r="240" customFormat="false" ht="15" hidden="false" customHeight="false" outlineLevel="0" collapsed="false">
      <c r="A240" s="9"/>
      <c r="B240" s="6"/>
      <c r="C240" s="6"/>
      <c r="D240" s="6"/>
      <c r="E240" s="6"/>
      <c r="F240" s="6"/>
      <c r="G240" s="11" t="str">
        <f aca="false">IF(OR(E240="",F240=""),"",ROUND(E240*(1+F240/30),1))</f>
        <v/>
      </c>
      <c r="H240" s="18" t="str">
        <f aca="false">IF(G240="","",IF(G240&gt;=_xlfn.MAXIFS($G$2:$G$501,$C$2:$C$501,C240),"PR",""))</f>
        <v/>
      </c>
      <c r="I240" s="6"/>
    </row>
    <row r="241" customFormat="false" ht="15" hidden="false" customHeight="false" outlineLevel="0" collapsed="false">
      <c r="A241" s="9"/>
      <c r="B241" s="6"/>
      <c r="C241" s="6"/>
      <c r="D241" s="6"/>
      <c r="E241" s="6"/>
      <c r="F241" s="6"/>
      <c r="G241" s="11" t="str">
        <f aca="false">IF(OR(E241="",F241=""),"",ROUND(E241*(1+F241/30),1))</f>
        <v/>
      </c>
      <c r="H241" s="18" t="str">
        <f aca="false">IF(G241="","",IF(G241&gt;=_xlfn.MAXIFS($G$2:$G$501,$C$2:$C$501,C241),"PR",""))</f>
        <v/>
      </c>
      <c r="I241" s="6"/>
    </row>
    <row r="242" customFormat="false" ht="15" hidden="false" customHeight="false" outlineLevel="0" collapsed="false">
      <c r="A242" s="9"/>
      <c r="B242" s="6"/>
      <c r="C242" s="6"/>
      <c r="D242" s="6"/>
      <c r="E242" s="6"/>
      <c r="F242" s="6"/>
      <c r="G242" s="11" t="str">
        <f aca="false">IF(OR(E242="",F242=""),"",ROUND(E242*(1+F242/30),1))</f>
        <v/>
      </c>
      <c r="H242" s="18" t="str">
        <f aca="false">IF(G242="","",IF(G242&gt;=_xlfn.MAXIFS($G$2:$G$501,$C$2:$C$501,C242),"PR",""))</f>
        <v/>
      </c>
      <c r="I242" s="6"/>
    </row>
    <row r="243" customFormat="false" ht="15" hidden="false" customHeight="false" outlineLevel="0" collapsed="false">
      <c r="A243" s="9"/>
      <c r="B243" s="6"/>
      <c r="C243" s="6"/>
      <c r="D243" s="6"/>
      <c r="E243" s="6"/>
      <c r="F243" s="6"/>
      <c r="G243" s="11" t="str">
        <f aca="false">IF(OR(E243="",F243=""),"",ROUND(E243*(1+F243/30),1))</f>
        <v/>
      </c>
      <c r="H243" s="18" t="str">
        <f aca="false">IF(G243="","",IF(G243&gt;=_xlfn.MAXIFS($G$2:$G$501,$C$2:$C$501,C243),"PR",""))</f>
        <v/>
      </c>
      <c r="I243" s="6"/>
    </row>
    <row r="244" customFormat="false" ht="15" hidden="false" customHeight="false" outlineLevel="0" collapsed="false">
      <c r="A244" s="9"/>
      <c r="B244" s="6"/>
      <c r="C244" s="6"/>
      <c r="D244" s="6"/>
      <c r="E244" s="6"/>
      <c r="F244" s="6"/>
      <c r="G244" s="11" t="str">
        <f aca="false">IF(OR(E244="",F244=""),"",ROUND(E244*(1+F244/30),1))</f>
        <v/>
      </c>
      <c r="H244" s="18" t="str">
        <f aca="false">IF(G244="","",IF(G244&gt;=_xlfn.MAXIFS($G$2:$G$501,$C$2:$C$501,C244),"PR",""))</f>
        <v/>
      </c>
      <c r="I244" s="6"/>
    </row>
    <row r="245" customFormat="false" ht="15" hidden="false" customHeight="false" outlineLevel="0" collapsed="false">
      <c r="A245" s="9"/>
      <c r="B245" s="6"/>
      <c r="C245" s="6"/>
      <c r="D245" s="6"/>
      <c r="E245" s="6"/>
      <c r="F245" s="6"/>
      <c r="G245" s="11" t="str">
        <f aca="false">IF(OR(E245="",F245=""),"",ROUND(E245*(1+F245/30),1))</f>
        <v/>
      </c>
      <c r="H245" s="18" t="str">
        <f aca="false">IF(G245="","",IF(G245&gt;=_xlfn.MAXIFS($G$2:$G$501,$C$2:$C$501,C245),"PR",""))</f>
        <v/>
      </c>
      <c r="I245" s="6"/>
    </row>
    <row r="246" customFormat="false" ht="15" hidden="false" customHeight="false" outlineLevel="0" collapsed="false">
      <c r="A246" s="9"/>
      <c r="B246" s="6"/>
      <c r="C246" s="6"/>
      <c r="D246" s="6"/>
      <c r="E246" s="6"/>
      <c r="F246" s="6"/>
      <c r="G246" s="11" t="str">
        <f aca="false">IF(OR(E246="",F246=""),"",ROUND(E246*(1+F246/30),1))</f>
        <v/>
      </c>
      <c r="H246" s="18" t="str">
        <f aca="false">IF(G246="","",IF(G246&gt;=_xlfn.MAXIFS($G$2:$G$501,$C$2:$C$501,C246),"PR",""))</f>
        <v/>
      </c>
      <c r="I246" s="6"/>
    </row>
    <row r="247" customFormat="false" ht="15" hidden="false" customHeight="false" outlineLevel="0" collapsed="false">
      <c r="A247" s="9"/>
      <c r="B247" s="6"/>
      <c r="C247" s="6"/>
      <c r="D247" s="6"/>
      <c r="E247" s="6"/>
      <c r="F247" s="6"/>
      <c r="G247" s="11" t="str">
        <f aca="false">IF(OR(E247="",F247=""),"",ROUND(E247*(1+F247/30),1))</f>
        <v/>
      </c>
      <c r="H247" s="18" t="str">
        <f aca="false">IF(G247="","",IF(G247&gt;=_xlfn.MAXIFS($G$2:$G$501,$C$2:$C$501,C247),"PR",""))</f>
        <v/>
      </c>
      <c r="I247" s="6"/>
    </row>
    <row r="248" customFormat="false" ht="15" hidden="false" customHeight="false" outlineLevel="0" collapsed="false">
      <c r="A248" s="9"/>
      <c r="B248" s="6"/>
      <c r="C248" s="6"/>
      <c r="D248" s="6"/>
      <c r="E248" s="6"/>
      <c r="F248" s="6"/>
      <c r="G248" s="11" t="str">
        <f aca="false">IF(OR(E248="",F248=""),"",ROUND(E248*(1+F248/30),1))</f>
        <v/>
      </c>
      <c r="H248" s="18" t="str">
        <f aca="false">IF(G248="","",IF(G248&gt;=_xlfn.MAXIFS($G$2:$G$501,$C$2:$C$501,C248),"PR",""))</f>
        <v/>
      </c>
      <c r="I248" s="6"/>
    </row>
    <row r="249" customFormat="false" ht="15" hidden="false" customHeight="false" outlineLevel="0" collapsed="false">
      <c r="A249" s="9"/>
      <c r="B249" s="6"/>
      <c r="C249" s="6"/>
      <c r="D249" s="6"/>
      <c r="E249" s="6"/>
      <c r="F249" s="6"/>
      <c r="G249" s="11" t="str">
        <f aca="false">IF(OR(E249="",F249=""),"",ROUND(E249*(1+F249/30),1))</f>
        <v/>
      </c>
      <c r="H249" s="18" t="str">
        <f aca="false">IF(G249="","",IF(G249&gt;=_xlfn.MAXIFS($G$2:$G$501,$C$2:$C$501,C249),"PR",""))</f>
        <v/>
      </c>
      <c r="I249" s="6"/>
    </row>
    <row r="250" customFormat="false" ht="15" hidden="false" customHeight="false" outlineLevel="0" collapsed="false">
      <c r="A250" s="9"/>
      <c r="B250" s="6"/>
      <c r="C250" s="6"/>
      <c r="D250" s="6"/>
      <c r="E250" s="6"/>
      <c r="F250" s="6"/>
      <c r="G250" s="11" t="str">
        <f aca="false">IF(OR(E250="",F250=""),"",ROUND(E250*(1+F250/30),1))</f>
        <v/>
      </c>
      <c r="H250" s="18" t="str">
        <f aca="false">IF(G250="","",IF(G250&gt;=_xlfn.MAXIFS($G$2:$G$501,$C$2:$C$501,C250),"PR",""))</f>
        <v/>
      </c>
      <c r="I250" s="6"/>
    </row>
    <row r="251" customFormat="false" ht="15" hidden="false" customHeight="false" outlineLevel="0" collapsed="false">
      <c r="A251" s="9"/>
      <c r="B251" s="6"/>
      <c r="C251" s="6"/>
      <c r="D251" s="6"/>
      <c r="E251" s="6"/>
      <c r="F251" s="6"/>
      <c r="G251" s="11" t="str">
        <f aca="false">IF(OR(E251="",F251=""),"",ROUND(E251*(1+F251/30),1))</f>
        <v/>
      </c>
      <c r="H251" s="18" t="str">
        <f aca="false">IF(G251="","",IF(G251&gt;=_xlfn.MAXIFS($G$2:$G$501,$C$2:$C$501,C251),"PR",""))</f>
        <v/>
      </c>
      <c r="I251" s="6"/>
    </row>
    <row r="252" customFormat="false" ht="15" hidden="false" customHeight="false" outlineLevel="0" collapsed="false">
      <c r="A252" s="9"/>
      <c r="B252" s="6"/>
      <c r="C252" s="6"/>
      <c r="D252" s="6"/>
      <c r="E252" s="6"/>
      <c r="F252" s="6"/>
      <c r="G252" s="11" t="str">
        <f aca="false">IF(OR(E252="",F252=""),"",ROUND(E252*(1+F252/30),1))</f>
        <v/>
      </c>
      <c r="H252" s="18" t="str">
        <f aca="false">IF(G252="","",IF(G252&gt;=_xlfn.MAXIFS($G$2:$G$501,$C$2:$C$501,C252),"PR",""))</f>
        <v/>
      </c>
      <c r="I252" s="6"/>
    </row>
    <row r="253" customFormat="false" ht="15" hidden="false" customHeight="false" outlineLevel="0" collapsed="false">
      <c r="A253" s="9"/>
      <c r="B253" s="6"/>
      <c r="C253" s="6"/>
      <c r="D253" s="6"/>
      <c r="E253" s="6"/>
      <c r="F253" s="6"/>
      <c r="G253" s="11" t="str">
        <f aca="false">IF(OR(E253="",F253=""),"",ROUND(E253*(1+F253/30),1))</f>
        <v/>
      </c>
      <c r="H253" s="18" t="str">
        <f aca="false">IF(G253="","",IF(G253&gt;=_xlfn.MAXIFS($G$2:$G$501,$C$2:$C$501,C253),"PR",""))</f>
        <v/>
      </c>
      <c r="I253" s="6"/>
    </row>
    <row r="254" customFormat="false" ht="15" hidden="false" customHeight="false" outlineLevel="0" collapsed="false">
      <c r="A254" s="9"/>
      <c r="B254" s="6"/>
      <c r="C254" s="6"/>
      <c r="D254" s="6"/>
      <c r="E254" s="6"/>
      <c r="F254" s="6"/>
      <c r="G254" s="11" t="str">
        <f aca="false">IF(OR(E254="",F254=""),"",ROUND(E254*(1+F254/30),1))</f>
        <v/>
      </c>
      <c r="H254" s="18" t="str">
        <f aca="false">IF(G254="","",IF(G254&gt;=_xlfn.MAXIFS($G$2:$G$501,$C$2:$C$501,C254),"PR",""))</f>
        <v/>
      </c>
      <c r="I254" s="6"/>
    </row>
    <row r="255" customFormat="false" ht="15" hidden="false" customHeight="false" outlineLevel="0" collapsed="false">
      <c r="A255" s="9"/>
      <c r="B255" s="6"/>
      <c r="C255" s="6"/>
      <c r="D255" s="6"/>
      <c r="E255" s="6"/>
      <c r="F255" s="6"/>
      <c r="G255" s="11" t="str">
        <f aca="false">IF(OR(E255="",F255=""),"",ROUND(E255*(1+F255/30),1))</f>
        <v/>
      </c>
      <c r="H255" s="18" t="str">
        <f aca="false">IF(G255="","",IF(G255&gt;=_xlfn.MAXIFS($G$2:$G$501,$C$2:$C$501,C255),"PR",""))</f>
        <v/>
      </c>
      <c r="I255" s="6"/>
    </row>
    <row r="256" customFormat="false" ht="15" hidden="false" customHeight="false" outlineLevel="0" collapsed="false">
      <c r="A256" s="9"/>
      <c r="B256" s="6"/>
      <c r="C256" s="6"/>
      <c r="D256" s="6"/>
      <c r="E256" s="6"/>
      <c r="F256" s="6"/>
      <c r="G256" s="11" t="str">
        <f aca="false">IF(OR(E256="",F256=""),"",ROUND(E256*(1+F256/30),1))</f>
        <v/>
      </c>
      <c r="H256" s="18" t="str">
        <f aca="false">IF(G256="","",IF(G256&gt;=_xlfn.MAXIFS($G$2:$G$501,$C$2:$C$501,C256),"PR",""))</f>
        <v/>
      </c>
      <c r="I256" s="6"/>
    </row>
    <row r="257" customFormat="false" ht="15" hidden="false" customHeight="false" outlineLevel="0" collapsed="false">
      <c r="A257" s="9"/>
      <c r="B257" s="6"/>
      <c r="C257" s="6"/>
      <c r="D257" s="6"/>
      <c r="E257" s="6"/>
      <c r="F257" s="6"/>
      <c r="G257" s="11" t="str">
        <f aca="false">IF(OR(E257="",F257=""),"",ROUND(E257*(1+F257/30),1))</f>
        <v/>
      </c>
      <c r="H257" s="18" t="str">
        <f aca="false">IF(G257="","",IF(G257&gt;=_xlfn.MAXIFS($G$2:$G$501,$C$2:$C$501,C257),"PR",""))</f>
        <v/>
      </c>
      <c r="I257" s="6"/>
    </row>
    <row r="258" customFormat="false" ht="15" hidden="false" customHeight="false" outlineLevel="0" collapsed="false">
      <c r="A258" s="9"/>
      <c r="B258" s="6"/>
      <c r="C258" s="6"/>
      <c r="D258" s="6"/>
      <c r="E258" s="6"/>
      <c r="F258" s="6"/>
      <c r="G258" s="11" t="str">
        <f aca="false">IF(OR(E258="",F258=""),"",ROUND(E258*(1+F258/30),1))</f>
        <v/>
      </c>
      <c r="H258" s="18" t="str">
        <f aca="false">IF(G258="","",IF(G258&gt;=_xlfn.MAXIFS($G$2:$G$501,$C$2:$C$501,C258),"PR",""))</f>
        <v/>
      </c>
      <c r="I258" s="6"/>
    </row>
    <row r="259" customFormat="false" ht="15" hidden="false" customHeight="false" outlineLevel="0" collapsed="false">
      <c r="A259" s="9"/>
      <c r="B259" s="6"/>
      <c r="C259" s="6"/>
      <c r="D259" s="6"/>
      <c r="E259" s="6"/>
      <c r="F259" s="6"/>
      <c r="G259" s="11" t="str">
        <f aca="false">IF(OR(E259="",F259=""),"",ROUND(E259*(1+F259/30),1))</f>
        <v/>
      </c>
      <c r="H259" s="18" t="str">
        <f aca="false">IF(G259="","",IF(G259&gt;=_xlfn.MAXIFS($G$2:$G$501,$C$2:$C$501,C259),"PR",""))</f>
        <v/>
      </c>
      <c r="I259" s="6"/>
    </row>
    <row r="260" customFormat="false" ht="15" hidden="false" customHeight="false" outlineLevel="0" collapsed="false">
      <c r="A260" s="9"/>
      <c r="B260" s="6"/>
      <c r="C260" s="6"/>
      <c r="D260" s="6"/>
      <c r="E260" s="6"/>
      <c r="F260" s="6"/>
      <c r="G260" s="11" t="str">
        <f aca="false">IF(OR(E260="",F260=""),"",ROUND(E260*(1+F260/30),1))</f>
        <v/>
      </c>
      <c r="H260" s="18" t="str">
        <f aca="false">IF(G260="","",IF(G260&gt;=_xlfn.MAXIFS($G$2:$G$501,$C$2:$C$501,C260),"PR",""))</f>
        <v/>
      </c>
      <c r="I260" s="6"/>
    </row>
    <row r="261" customFormat="false" ht="15" hidden="false" customHeight="false" outlineLevel="0" collapsed="false">
      <c r="A261" s="9"/>
      <c r="B261" s="6"/>
      <c r="C261" s="6"/>
      <c r="D261" s="6"/>
      <c r="E261" s="6"/>
      <c r="F261" s="6"/>
      <c r="G261" s="11" t="str">
        <f aca="false">IF(OR(E261="",F261=""),"",ROUND(E261*(1+F261/30),1))</f>
        <v/>
      </c>
      <c r="H261" s="18" t="str">
        <f aca="false">IF(G261="","",IF(G261&gt;=_xlfn.MAXIFS($G$2:$G$501,$C$2:$C$501,C261),"PR",""))</f>
        <v/>
      </c>
      <c r="I261" s="6"/>
    </row>
    <row r="262" customFormat="false" ht="15" hidden="false" customHeight="false" outlineLevel="0" collapsed="false">
      <c r="A262" s="9"/>
      <c r="B262" s="6"/>
      <c r="C262" s="6"/>
      <c r="D262" s="6"/>
      <c r="E262" s="6"/>
      <c r="F262" s="6"/>
      <c r="G262" s="11" t="str">
        <f aca="false">IF(OR(E262="",F262=""),"",ROUND(E262*(1+F262/30),1))</f>
        <v/>
      </c>
      <c r="H262" s="18" t="str">
        <f aca="false">IF(G262="","",IF(G262&gt;=_xlfn.MAXIFS($G$2:$G$501,$C$2:$C$501,C262),"PR",""))</f>
        <v/>
      </c>
      <c r="I262" s="6"/>
    </row>
    <row r="263" customFormat="false" ht="15" hidden="false" customHeight="false" outlineLevel="0" collapsed="false">
      <c r="A263" s="9"/>
      <c r="B263" s="6"/>
      <c r="C263" s="6"/>
      <c r="D263" s="6"/>
      <c r="E263" s="6"/>
      <c r="F263" s="6"/>
      <c r="G263" s="11" t="str">
        <f aca="false">IF(OR(E263="",F263=""),"",ROUND(E263*(1+F263/30),1))</f>
        <v/>
      </c>
      <c r="H263" s="18" t="str">
        <f aca="false">IF(G263="","",IF(G263&gt;=_xlfn.MAXIFS($G$2:$G$501,$C$2:$C$501,C263),"PR",""))</f>
        <v/>
      </c>
      <c r="I263" s="6"/>
    </row>
    <row r="264" customFormat="false" ht="15" hidden="false" customHeight="false" outlineLevel="0" collapsed="false">
      <c r="A264" s="9"/>
      <c r="B264" s="6"/>
      <c r="C264" s="6"/>
      <c r="D264" s="6"/>
      <c r="E264" s="6"/>
      <c r="F264" s="6"/>
      <c r="G264" s="11" t="str">
        <f aca="false">IF(OR(E264="",F264=""),"",ROUND(E264*(1+F264/30),1))</f>
        <v/>
      </c>
      <c r="H264" s="18" t="str">
        <f aca="false">IF(G264="","",IF(G264&gt;=_xlfn.MAXIFS($G$2:$G$501,$C$2:$C$501,C264),"PR",""))</f>
        <v/>
      </c>
      <c r="I264" s="6"/>
    </row>
    <row r="265" customFormat="false" ht="15" hidden="false" customHeight="false" outlineLevel="0" collapsed="false">
      <c r="A265" s="9"/>
      <c r="B265" s="6"/>
      <c r="C265" s="6"/>
      <c r="D265" s="6"/>
      <c r="E265" s="6"/>
      <c r="F265" s="6"/>
      <c r="G265" s="11" t="str">
        <f aca="false">IF(OR(E265="",F265=""),"",ROUND(E265*(1+F265/30),1))</f>
        <v/>
      </c>
      <c r="H265" s="18" t="str">
        <f aca="false">IF(G265="","",IF(G265&gt;=_xlfn.MAXIFS($G$2:$G$501,$C$2:$C$501,C265),"PR",""))</f>
        <v/>
      </c>
      <c r="I265" s="6"/>
    </row>
    <row r="266" customFormat="false" ht="15" hidden="false" customHeight="false" outlineLevel="0" collapsed="false">
      <c r="A266" s="9"/>
      <c r="B266" s="6"/>
      <c r="C266" s="6"/>
      <c r="D266" s="6"/>
      <c r="E266" s="6"/>
      <c r="F266" s="6"/>
      <c r="G266" s="11" t="str">
        <f aca="false">IF(OR(E266="",F266=""),"",ROUND(E266*(1+F266/30),1))</f>
        <v/>
      </c>
      <c r="H266" s="18" t="str">
        <f aca="false">IF(G266="","",IF(G266&gt;=_xlfn.MAXIFS($G$2:$G$501,$C$2:$C$501,C266),"PR",""))</f>
        <v/>
      </c>
      <c r="I266" s="6"/>
    </row>
    <row r="267" customFormat="false" ht="15" hidden="false" customHeight="false" outlineLevel="0" collapsed="false">
      <c r="A267" s="9"/>
      <c r="B267" s="6"/>
      <c r="C267" s="6"/>
      <c r="D267" s="6"/>
      <c r="E267" s="6"/>
      <c r="F267" s="6"/>
      <c r="G267" s="11" t="str">
        <f aca="false">IF(OR(E267="",F267=""),"",ROUND(E267*(1+F267/30),1))</f>
        <v/>
      </c>
      <c r="H267" s="18" t="str">
        <f aca="false">IF(G267="","",IF(G267&gt;=_xlfn.MAXIFS($G$2:$G$501,$C$2:$C$501,C267),"PR",""))</f>
        <v/>
      </c>
      <c r="I267" s="6"/>
    </row>
    <row r="268" customFormat="false" ht="15" hidden="false" customHeight="false" outlineLevel="0" collapsed="false">
      <c r="A268" s="9"/>
      <c r="B268" s="6"/>
      <c r="C268" s="6"/>
      <c r="D268" s="6"/>
      <c r="E268" s="6"/>
      <c r="F268" s="6"/>
      <c r="G268" s="11" t="str">
        <f aca="false">IF(OR(E268="",F268=""),"",ROUND(E268*(1+F268/30),1))</f>
        <v/>
      </c>
      <c r="H268" s="18" t="str">
        <f aca="false">IF(G268="","",IF(G268&gt;=_xlfn.MAXIFS($G$2:$G$501,$C$2:$C$501,C268),"PR",""))</f>
        <v/>
      </c>
      <c r="I268" s="6"/>
    </row>
    <row r="269" customFormat="false" ht="15" hidden="false" customHeight="false" outlineLevel="0" collapsed="false">
      <c r="A269" s="9"/>
      <c r="B269" s="6"/>
      <c r="C269" s="6"/>
      <c r="D269" s="6"/>
      <c r="E269" s="6"/>
      <c r="F269" s="6"/>
      <c r="G269" s="11" t="str">
        <f aca="false">IF(OR(E269="",F269=""),"",ROUND(E269*(1+F269/30),1))</f>
        <v/>
      </c>
      <c r="H269" s="18" t="str">
        <f aca="false">IF(G269="","",IF(G269&gt;=_xlfn.MAXIFS($G$2:$G$501,$C$2:$C$501,C269),"PR",""))</f>
        <v/>
      </c>
      <c r="I269" s="6"/>
    </row>
    <row r="270" customFormat="false" ht="15" hidden="false" customHeight="false" outlineLevel="0" collapsed="false">
      <c r="A270" s="9"/>
      <c r="B270" s="6"/>
      <c r="C270" s="6"/>
      <c r="D270" s="6"/>
      <c r="E270" s="6"/>
      <c r="F270" s="6"/>
      <c r="G270" s="11" t="str">
        <f aca="false">IF(OR(E270="",F270=""),"",ROUND(E270*(1+F270/30),1))</f>
        <v/>
      </c>
      <c r="H270" s="18" t="str">
        <f aca="false">IF(G270="","",IF(G270&gt;=_xlfn.MAXIFS($G$2:$G$501,$C$2:$C$501,C270),"PR",""))</f>
        <v/>
      </c>
      <c r="I270" s="6"/>
    </row>
    <row r="271" customFormat="false" ht="15" hidden="false" customHeight="false" outlineLevel="0" collapsed="false">
      <c r="A271" s="9"/>
      <c r="B271" s="6"/>
      <c r="C271" s="6"/>
      <c r="D271" s="6"/>
      <c r="E271" s="6"/>
      <c r="F271" s="6"/>
      <c r="G271" s="11" t="str">
        <f aca="false">IF(OR(E271="",F271=""),"",ROUND(E271*(1+F271/30),1))</f>
        <v/>
      </c>
      <c r="H271" s="18" t="str">
        <f aca="false">IF(G271="","",IF(G271&gt;=_xlfn.MAXIFS($G$2:$G$501,$C$2:$C$501,C271),"PR",""))</f>
        <v/>
      </c>
      <c r="I271" s="6"/>
    </row>
    <row r="272" customFormat="false" ht="15" hidden="false" customHeight="false" outlineLevel="0" collapsed="false">
      <c r="A272" s="9"/>
      <c r="B272" s="6"/>
      <c r="C272" s="6"/>
      <c r="D272" s="6"/>
      <c r="E272" s="6"/>
      <c r="F272" s="6"/>
      <c r="G272" s="11" t="str">
        <f aca="false">IF(OR(E272="",F272=""),"",ROUND(E272*(1+F272/30),1))</f>
        <v/>
      </c>
      <c r="H272" s="18" t="str">
        <f aca="false">IF(G272="","",IF(G272&gt;=_xlfn.MAXIFS($G$2:$G$501,$C$2:$C$501,C272),"PR",""))</f>
        <v/>
      </c>
      <c r="I272" s="6"/>
    </row>
    <row r="273" customFormat="false" ht="15" hidden="false" customHeight="false" outlineLevel="0" collapsed="false">
      <c r="A273" s="9"/>
      <c r="B273" s="6"/>
      <c r="C273" s="6"/>
      <c r="D273" s="6"/>
      <c r="E273" s="6"/>
      <c r="F273" s="6"/>
      <c r="G273" s="11" t="str">
        <f aca="false">IF(OR(E273="",F273=""),"",ROUND(E273*(1+F273/30),1))</f>
        <v/>
      </c>
      <c r="H273" s="18" t="str">
        <f aca="false">IF(G273="","",IF(G273&gt;=_xlfn.MAXIFS($G$2:$G$501,$C$2:$C$501,C273),"PR",""))</f>
        <v/>
      </c>
      <c r="I273" s="6"/>
    </row>
    <row r="274" customFormat="false" ht="15" hidden="false" customHeight="false" outlineLevel="0" collapsed="false">
      <c r="A274" s="9"/>
      <c r="B274" s="6"/>
      <c r="C274" s="6"/>
      <c r="D274" s="6"/>
      <c r="E274" s="6"/>
      <c r="F274" s="6"/>
      <c r="G274" s="11" t="str">
        <f aca="false">IF(OR(E274="",F274=""),"",ROUND(E274*(1+F274/30),1))</f>
        <v/>
      </c>
      <c r="H274" s="18" t="str">
        <f aca="false">IF(G274="","",IF(G274&gt;=_xlfn.MAXIFS($G$2:$G$501,$C$2:$C$501,C274),"PR",""))</f>
        <v/>
      </c>
      <c r="I274" s="6"/>
    </row>
    <row r="275" customFormat="false" ht="15" hidden="false" customHeight="false" outlineLevel="0" collapsed="false">
      <c r="A275" s="9"/>
      <c r="B275" s="6"/>
      <c r="C275" s="6"/>
      <c r="D275" s="6"/>
      <c r="E275" s="6"/>
      <c r="F275" s="6"/>
      <c r="G275" s="11" t="str">
        <f aca="false">IF(OR(E275="",F275=""),"",ROUND(E275*(1+F275/30),1))</f>
        <v/>
      </c>
      <c r="H275" s="18" t="str">
        <f aca="false">IF(G275="","",IF(G275&gt;=_xlfn.MAXIFS($G$2:$G$501,$C$2:$C$501,C275),"PR",""))</f>
        <v/>
      </c>
      <c r="I275" s="6"/>
    </row>
    <row r="276" customFormat="false" ht="15" hidden="false" customHeight="false" outlineLevel="0" collapsed="false">
      <c r="A276" s="9"/>
      <c r="B276" s="6"/>
      <c r="C276" s="6"/>
      <c r="D276" s="6"/>
      <c r="E276" s="6"/>
      <c r="F276" s="6"/>
      <c r="G276" s="11" t="str">
        <f aca="false">IF(OR(E276="",F276=""),"",ROUND(E276*(1+F276/30),1))</f>
        <v/>
      </c>
      <c r="H276" s="18" t="str">
        <f aca="false">IF(G276="","",IF(G276&gt;=_xlfn.MAXIFS($G$2:$G$501,$C$2:$C$501,C276),"PR",""))</f>
        <v/>
      </c>
      <c r="I276" s="6"/>
    </row>
    <row r="277" customFormat="false" ht="15" hidden="false" customHeight="false" outlineLevel="0" collapsed="false">
      <c r="A277" s="9"/>
      <c r="B277" s="6"/>
      <c r="C277" s="6"/>
      <c r="D277" s="6"/>
      <c r="E277" s="6"/>
      <c r="F277" s="6"/>
      <c r="G277" s="11" t="str">
        <f aca="false">IF(OR(E277="",F277=""),"",ROUND(E277*(1+F277/30),1))</f>
        <v/>
      </c>
      <c r="H277" s="18" t="str">
        <f aca="false">IF(G277="","",IF(G277&gt;=_xlfn.MAXIFS($G$2:$G$501,$C$2:$C$501,C277),"PR",""))</f>
        <v/>
      </c>
      <c r="I277" s="6"/>
    </row>
    <row r="278" customFormat="false" ht="15" hidden="false" customHeight="false" outlineLevel="0" collapsed="false">
      <c r="A278" s="9"/>
      <c r="B278" s="6"/>
      <c r="C278" s="6"/>
      <c r="D278" s="6"/>
      <c r="E278" s="6"/>
      <c r="F278" s="6"/>
      <c r="G278" s="11" t="str">
        <f aca="false">IF(OR(E278="",F278=""),"",ROUND(E278*(1+F278/30),1))</f>
        <v/>
      </c>
      <c r="H278" s="18" t="str">
        <f aca="false">IF(G278="","",IF(G278&gt;=_xlfn.MAXIFS($G$2:$G$501,$C$2:$C$501,C278),"PR",""))</f>
        <v/>
      </c>
      <c r="I278" s="6"/>
    </row>
    <row r="279" customFormat="false" ht="15" hidden="false" customHeight="false" outlineLevel="0" collapsed="false">
      <c r="A279" s="9"/>
      <c r="B279" s="6"/>
      <c r="C279" s="6"/>
      <c r="D279" s="6"/>
      <c r="E279" s="6"/>
      <c r="F279" s="6"/>
      <c r="G279" s="11" t="str">
        <f aca="false">IF(OR(E279="",F279=""),"",ROUND(E279*(1+F279/30),1))</f>
        <v/>
      </c>
      <c r="H279" s="18" t="str">
        <f aca="false">IF(G279="","",IF(G279&gt;=_xlfn.MAXIFS($G$2:$G$501,$C$2:$C$501,C279),"PR",""))</f>
        <v/>
      </c>
      <c r="I279" s="6"/>
    </row>
    <row r="280" customFormat="false" ht="15" hidden="false" customHeight="false" outlineLevel="0" collapsed="false">
      <c r="A280" s="9"/>
      <c r="B280" s="6"/>
      <c r="C280" s="6"/>
      <c r="D280" s="6"/>
      <c r="E280" s="6"/>
      <c r="F280" s="6"/>
      <c r="G280" s="11" t="str">
        <f aca="false">IF(OR(E280="",F280=""),"",ROUND(E280*(1+F280/30),1))</f>
        <v/>
      </c>
      <c r="H280" s="18" t="str">
        <f aca="false">IF(G280="","",IF(G280&gt;=_xlfn.MAXIFS($G$2:$G$501,$C$2:$C$501,C280),"PR",""))</f>
        <v/>
      </c>
      <c r="I280" s="6"/>
    </row>
    <row r="281" customFormat="false" ht="15" hidden="false" customHeight="false" outlineLevel="0" collapsed="false">
      <c r="A281" s="9"/>
      <c r="B281" s="6"/>
      <c r="C281" s="6"/>
      <c r="D281" s="6"/>
      <c r="E281" s="6"/>
      <c r="F281" s="6"/>
      <c r="G281" s="11" t="str">
        <f aca="false">IF(OR(E281="",F281=""),"",ROUND(E281*(1+F281/30),1))</f>
        <v/>
      </c>
      <c r="H281" s="18" t="str">
        <f aca="false">IF(G281="","",IF(G281&gt;=_xlfn.MAXIFS($G$2:$G$501,$C$2:$C$501,C281),"PR",""))</f>
        <v/>
      </c>
      <c r="I281" s="6"/>
    </row>
    <row r="282" customFormat="false" ht="15" hidden="false" customHeight="false" outlineLevel="0" collapsed="false">
      <c r="A282" s="9"/>
      <c r="B282" s="6"/>
      <c r="C282" s="6"/>
      <c r="D282" s="6"/>
      <c r="E282" s="6"/>
      <c r="F282" s="6"/>
      <c r="G282" s="11" t="str">
        <f aca="false">IF(OR(E282="",F282=""),"",ROUND(E282*(1+F282/30),1))</f>
        <v/>
      </c>
      <c r="H282" s="18" t="str">
        <f aca="false">IF(G282="","",IF(G282&gt;=_xlfn.MAXIFS($G$2:$G$501,$C$2:$C$501,C282),"PR",""))</f>
        <v/>
      </c>
      <c r="I282" s="6"/>
    </row>
    <row r="283" customFormat="false" ht="15" hidden="false" customHeight="false" outlineLevel="0" collapsed="false">
      <c r="A283" s="9"/>
      <c r="B283" s="6"/>
      <c r="C283" s="6"/>
      <c r="D283" s="6"/>
      <c r="E283" s="6"/>
      <c r="F283" s="6"/>
      <c r="G283" s="11" t="str">
        <f aca="false">IF(OR(E283="",F283=""),"",ROUND(E283*(1+F283/30),1))</f>
        <v/>
      </c>
      <c r="H283" s="18" t="str">
        <f aca="false">IF(G283="","",IF(G283&gt;=_xlfn.MAXIFS($G$2:$G$501,$C$2:$C$501,C283),"PR",""))</f>
        <v/>
      </c>
      <c r="I283" s="6"/>
    </row>
    <row r="284" customFormat="false" ht="15" hidden="false" customHeight="false" outlineLevel="0" collapsed="false">
      <c r="A284" s="9"/>
      <c r="B284" s="6"/>
      <c r="C284" s="6"/>
      <c r="D284" s="6"/>
      <c r="E284" s="6"/>
      <c r="F284" s="6"/>
      <c r="G284" s="11" t="str">
        <f aca="false">IF(OR(E284="",F284=""),"",ROUND(E284*(1+F284/30),1))</f>
        <v/>
      </c>
      <c r="H284" s="18" t="str">
        <f aca="false">IF(G284="","",IF(G284&gt;=_xlfn.MAXIFS($G$2:$G$501,$C$2:$C$501,C284),"PR",""))</f>
        <v/>
      </c>
      <c r="I284" s="6"/>
    </row>
    <row r="285" customFormat="false" ht="15" hidden="false" customHeight="false" outlineLevel="0" collapsed="false">
      <c r="A285" s="9"/>
      <c r="B285" s="6"/>
      <c r="C285" s="6"/>
      <c r="D285" s="6"/>
      <c r="E285" s="6"/>
      <c r="F285" s="6"/>
      <c r="G285" s="11" t="str">
        <f aca="false">IF(OR(E285="",F285=""),"",ROUND(E285*(1+F285/30),1))</f>
        <v/>
      </c>
      <c r="H285" s="18" t="str">
        <f aca="false">IF(G285="","",IF(G285&gt;=_xlfn.MAXIFS($G$2:$G$501,$C$2:$C$501,C285),"PR",""))</f>
        <v/>
      </c>
      <c r="I285" s="6"/>
    </row>
    <row r="286" customFormat="false" ht="15" hidden="false" customHeight="false" outlineLevel="0" collapsed="false">
      <c r="A286" s="9"/>
      <c r="B286" s="6"/>
      <c r="C286" s="6"/>
      <c r="D286" s="6"/>
      <c r="E286" s="6"/>
      <c r="F286" s="6"/>
      <c r="G286" s="11" t="str">
        <f aca="false">IF(OR(E286="",F286=""),"",ROUND(E286*(1+F286/30),1))</f>
        <v/>
      </c>
      <c r="H286" s="18" t="str">
        <f aca="false">IF(G286="","",IF(G286&gt;=_xlfn.MAXIFS($G$2:$G$501,$C$2:$C$501,C286),"PR",""))</f>
        <v/>
      </c>
      <c r="I286" s="6"/>
    </row>
    <row r="287" customFormat="false" ht="15" hidden="false" customHeight="false" outlineLevel="0" collapsed="false">
      <c r="A287" s="9"/>
      <c r="B287" s="6"/>
      <c r="C287" s="6"/>
      <c r="D287" s="6"/>
      <c r="E287" s="6"/>
      <c r="F287" s="6"/>
      <c r="G287" s="11" t="str">
        <f aca="false">IF(OR(E287="",F287=""),"",ROUND(E287*(1+F287/30),1))</f>
        <v/>
      </c>
      <c r="H287" s="18" t="str">
        <f aca="false">IF(G287="","",IF(G287&gt;=_xlfn.MAXIFS($G$2:$G$501,$C$2:$C$501,C287),"PR",""))</f>
        <v/>
      </c>
      <c r="I287" s="6"/>
    </row>
    <row r="288" customFormat="false" ht="15" hidden="false" customHeight="false" outlineLevel="0" collapsed="false">
      <c r="A288" s="9"/>
      <c r="B288" s="6"/>
      <c r="C288" s="6"/>
      <c r="D288" s="6"/>
      <c r="E288" s="6"/>
      <c r="F288" s="6"/>
      <c r="G288" s="11" t="str">
        <f aca="false">IF(OR(E288="",F288=""),"",ROUND(E288*(1+F288/30),1))</f>
        <v/>
      </c>
      <c r="H288" s="18" t="str">
        <f aca="false">IF(G288="","",IF(G288&gt;=_xlfn.MAXIFS($G$2:$G$501,$C$2:$C$501,C288),"PR",""))</f>
        <v/>
      </c>
      <c r="I288" s="6"/>
    </row>
    <row r="289" customFormat="false" ht="15" hidden="false" customHeight="false" outlineLevel="0" collapsed="false">
      <c r="A289" s="9"/>
      <c r="B289" s="6"/>
      <c r="C289" s="6"/>
      <c r="D289" s="6"/>
      <c r="E289" s="6"/>
      <c r="F289" s="6"/>
      <c r="G289" s="11" t="str">
        <f aca="false">IF(OR(E289="",F289=""),"",ROUND(E289*(1+F289/30),1))</f>
        <v/>
      </c>
      <c r="H289" s="18" t="str">
        <f aca="false">IF(G289="","",IF(G289&gt;=_xlfn.MAXIFS($G$2:$G$501,$C$2:$C$501,C289),"PR",""))</f>
        <v/>
      </c>
      <c r="I289" s="6"/>
    </row>
    <row r="290" customFormat="false" ht="15" hidden="false" customHeight="false" outlineLevel="0" collapsed="false">
      <c r="A290" s="9"/>
      <c r="B290" s="6"/>
      <c r="C290" s="6"/>
      <c r="D290" s="6"/>
      <c r="E290" s="6"/>
      <c r="F290" s="6"/>
      <c r="G290" s="11" t="str">
        <f aca="false">IF(OR(E290="",F290=""),"",ROUND(E290*(1+F290/30),1))</f>
        <v/>
      </c>
      <c r="H290" s="18" t="str">
        <f aca="false">IF(G290="","",IF(G290&gt;=_xlfn.MAXIFS($G$2:$G$501,$C$2:$C$501,C290),"PR",""))</f>
        <v/>
      </c>
      <c r="I290" s="6"/>
    </row>
    <row r="291" customFormat="false" ht="15" hidden="false" customHeight="false" outlineLevel="0" collapsed="false">
      <c r="A291" s="9"/>
      <c r="B291" s="6"/>
      <c r="C291" s="6"/>
      <c r="D291" s="6"/>
      <c r="E291" s="6"/>
      <c r="F291" s="6"/>
      <c r="G291" s="11" t="str">
        <f aca="false">IF(OR(E291="",F291=""),"",ROUND(E291*(1+F291/30),1))</f>
        <v/>
      </c>
      <c r="H291" s="18" t="str">
        <f aca="false">IF(G291="","",IF(G291&gt;=_xlfn.MAXIFS($G$2:$G$501,$C$2:$C$501,C291),"PR",""))</f>
        <v/>
      </c>
      <c r="I291" s="6"/>
    </row>
    <row r="292" customFormat="false" ht="15" hidden="false" customHeight="false" outlineLevel="0" collapsed="false">
      <c r="A292" s="9"/>
      <c r="B292" s="6"/>
      <c r="C292" s="6"/>
      <c r="D292" s="6"/>
      <c r="E292" s="6"/>
      <c r="F292" s="6"/>
      <c r="G292" s="11" t="str">
        <f aca="false">IF(OR(E292="",F292=""),"",ROUND(E292*(1+F292/30),1))</f>
        <v/>
      </c>
      <c r="H292" s="18" t="str">
        <f aca="false">IF(G292="","",IF(G292&gt;=_xlfn.MAXIFS($G$2:$G$501,$C$2:$C$501,C292),"PR",""))</f>
        <v/>
      </c>
      <c r="I292" s="6"/>
    </row>
    <row r="293" customFormat="false" ht="15" hidden="false" customHeight="false" outlineLevel="0" collapsed="false">
      <c r="A293" s="9"/>
      <c r="B293" s="6"/>
      <c r="C293" s="6"/>
      <c r="D293" s="6"/>
      <c r="E293" s="6"/>
      <c r="F293" s="6"/>
      <c r="G293" s="11" t="str">
        <f aca="false">IF(OR(E293="",F293=""),"",ROUND(E293*(1+F293/30),1))</f>
        <v/>
      </c>
      <c r="H293" s="18" t="str">
        <f aca="false">IF(G293="","",IF(G293&gt;=_xlfn.MAXIFS($G$2:$G$501,$C$2:$C$501,C293),"PR",""))</f>
        <v/>
      </c>
      <c r="I293" s="6"/>
    </row>
    <row r="294" customFormat="false" ht="15" hidden="false" customHeight="false" outlineLevel="0" collapsed="false">
      <c r="A294" s="9"/>
      <c r="B294" s="6"/>
      <c r="C294" s="6"/>
      <c r="D294" s="6"/>
      <c r="E294" s="6"/>
      <c r="F294" s="6"/>
      <c r="G294" s="11" t="str">
        <f aca="false">IF(OR(E294="",F294=""),"",ROUND(E294*(1+F294/30),1))</f>
        <v/>
      </c>
      <c r="H294" s="18" t="str">
        <f aca="false">IF(G294="","",IF(G294&gt;=_xlfn.MAXIFS($G$2:$G$501,$C$2:$C$501,C294),"PR",""))</f>
        <v/>
      </c>
      <c r="I294" s="6"/>
    </row>
    <row r="295" customFormat="false" ht="15" hidden="false" customHeight="false" outlineLevel="0" collapsed="false">
      <c r="A295" s="9"/>
      <c r="B295" s="6"/>
      <c r="C295" s="6"/>
      <c r="D295" s="6"/>
      <c r="E295" s="6"/>
      <c r="F295" s="6"/>
      <c r="G295" s="11" t="str">
        <f aca="false">IF(OR(E295="",F295=""),"",ROUND(E295*(1+F295/30),1))</f>
        <v/>
      </c>
      <c r="H295" s="18" t="str">
        <f aca="false">IF(G295="","",IF(G295&gt;=_xlfn.MAXIFS($G$2:$G$501,$C$2:$C$501,C295),"PR",""))</f>
        <v/>
      </c>
      <c r="I295" s="6"/>
    </row>
    <row r="296" customFormat="false" ht="15" hidden="false" customHeight="false" outlineLevel="0" collapsed="false">
      <c r="A296" s="9"/>
      <c r="B296" s="6"/>
      <c r="C296" s="6"/>
      <c r="D296" s="6"/>
      <c r="E296" s="6"/>
      <c r="F296" s="6"/>
      <c r="G296" s="11" t="str">
        <f aca="false">IF(OR(E296="",F296=""),"",ROUND(E296*(1+F296/30),1))</f>
        <v/>
      </c>
      <c r="H296" s="18" t="str">
        <f aca="false">IF(G296="","",IF(G296&gt;=_xlfn.MAXIFS($G$2:$G$501,$C$2:$C$501,C296),"PR",""))</f>
        <v/>
      </c>
      <c r="I296" s="6"/>
    </row>
    <row r="297" customFormat="false" ht="15" hidden="false" customHeight="false" outlineLevel="0" collapsed="false">
      <c r="A297" s="9"/>
      <c r="B297" s="6"/>
      <c r="C297" s="6"/>
      <c r="D297" s="6"/>
      <c r="E297" s="6"/>
      <c r="F297" s="6"/>
      <c r="G297" s="11" t="str">
        <f aca="false">IF(OR(E297="",F297=""),"",ROUND(E297*(1+F297/30),1))</f>
        <v/>
      </c>
      <c r="H297" s="18" t="str">
        <f aca="false">IF(G297="","",IF(G297&gt;=_xlfn.MAXIFS($G$2:$G$501,$C$2:$C$501,C297),"PR",""))</f>
        <v/>
      </c>
      <c r="I297" s="6"/>
    </row>
    <row r="298" customFormat="false" ht="15" hidden="false" customHeight="false" outlineLevel="0" collapsed="false">
      <c r="A298" s="9"/>
      <c r="B298" s="6"/>
      <c r="C298" s="6"/>
      <c r="D298" s="6"/>
      <c r="E298" s="6"/>
      <c r="F298" s="6"/>
      <c r="G298" s="11" t="str">
        <f aca="false">IF(OR(E298="",F298=""),"",ROUND(E298*(1+F298/30),1))</f>
        <v/>
      </c>
      <c r="H298" s="18" t="str">
        <f aca="false">IF(G298="","",IF(G298&gt;=_xlfn.MAXIFS($G$2:$G$501,$C$2:$C$501,C298),"PR",""))</f>
        <v/>
      </c>
      <c r="I298" s="6"/>
    </row>
    <row r="299" customFormat="false" ht="15" hidden="false" customHeight="false" outlineLevel="0" collapsed="false">
      <c r="A299" s="9"/>
      <c r="B299" s="6"/>
      <c r="C299" s="6"/>
      <c r="D299" s="6"/>
      <c r="E299" s="6"/>
      <c r="F299" s="6"/>
      <c r="G299" s="11" t="str">
        <f aca="false">IF(OR(E299="",F299=""),"",ROUND(E299*(1+F299/30),1))</f>
        <v/>
      </c>
      <c r="H299" s="18" t="str">
        <f aca="false">IF(G299="","",IF(G299&gt;=_xlfn.MAXIFS($G$2:$G$501,$C$2:$C$501,C299),"PR",""))</f>
        <v/>
      </c>
      <c r="I299" s="6"/>
    </row>
    <row r="300" customFormat="false" ht="15" hidden="false" customHeight="false" outlineLevel="0" collapsed="false">
      <c r="A300" s="9"/>
      <c r="B300" s="6"/>
      <c r="C300" s="6"/>
      <c r="D300" s="6"/>
      <c r="E300" s="6"/>
      <c r="F300" s="6"/>
      <c r="G300" s="11" t="str">
        <f aca="false">IF(OR(E300="",F300=""),"",ROUND(E300*(1+F300/30),1))</f>
        <v/>
      </c>
      <c r="H300" s="18" t="str">
        <f aca="false">IF(G300="","",IF(G300&gt;=_xlfn.MAXIFS($G$2:$G$501,$C$2:$C$501,C300),"PR",""))</f>
        <v/>
      </c>
      <c r="I300" s="6"/>
    </row>
    <row r="301" customFormat="false" ht="15" hidden="false" customHeight="false" outlineLevel="0" collapsed="false">
      <c r="A301" s="9"/>
      <c r="B301" s="6"/>
      <c r="C301" s="6"/>
      <c r="D301" s="6"/>
      <c r="E301" s="6"/>
      <c r="F301" s="6"/>
      <c r="G301" s="11" t="str">
        <f aca="false">IF(OR(E301="",F301=""),"",ROUND(E301*(1+F301/30),1))</f>
        <v/>
      </c>
      <c r="H301" s="18" t="str">
        <f aca="false">IF(G301="","",IF(G301&gt;=_xlfn.MAXIFS($G$2:$G$501,$C$2:$C$501,C301),"PR",""))</f>
        <v/>
      </c>
      <c r="I301" s="6"/>
    </row>
    <row r="302" customFormat="false" ht="15" hidden="false" customHeight="false" outlineLevel="0" collapsed="false">
      <c r="A302" s="9"/>
      <c r="B302" s="6"/>
      <c r="C302" s="6"/>
      <c r="D302" s="6"/>
      <c r="E302" s="6"/>
      <c r="F302" s="6"/>
      <c r="G302" s="11" t="str">
        <f aca="false">IF(OR(E302="",F302=""),"",ROUND(E302*(1+F302/30),1))</f>
        <v/>
      </c>
      <c r="H302" s="18" t="str">
        <f aca="false">IF(G302="","",IF(G302&gt;=_xlfn.MAXIFS($G$2:$G$501,$C$2:$C$501,C302),"PR",""))</f>
        <v/>
      </c>
      <c r="I302" s="6"/>
    </row>
    <row r="303" customFormat="false" ht="15" hidden="false" customHeight="false" outlineLevel="0" collapsed="false">
      <c r="A303" s="9"/>
      <c r="B303" s="6"/>
      <c r="C303" s="6"/>
      <c r="D303" s="6"/>
      <c r="E303" s="6"/>
      <c r="F303" s="6"/>
      <c r="G303" s="11" t="str">
        <f aca="false">IF(OR(E303="",F303=""),"",ROUND(E303*(1+F303/30),1))</f>
        <v/>
      </c>
      <c r="H303" s="18" t="str">
        <f aca="false">IF(G303="","",IF(G303&gt;=_xlfn.MAXIFS($G$2:$G$501,$C$2:$C$501,C303),"PR",""))</f>
        <v/>
      </c>
      <c r="I303" s="6"/>
    </row>
    <row r="304" customFormat="false" ht="15" hidden="false" customHeight="false" outlineLevel="0" collapsed="false">
      <c r="A304" s="9"/>
      <c r="B304" s="6"/>
      <c r="C304" s="6"/>
      <c r="D304" s="6"/>
      <c r="E304" s="6"/>
      <c r="F304" s="6"/>
      <c r="G304" s="11" t="str">
        <f aca="false">IF(OR(E304="",F304=""),"",ROUND(E304*(1+F304/30),1))</f>
        <v/>
      </c>
      <c r="H304" s="18" t="str">
        <f aca="false">IF(G304="","",IF(G304&gt;=_xlfn.MAXIFS($G$2:$G$501,$C$2:$C$501,C304),"PR",""))</f>
        <v/>
      </c>
      <c r="I304" s="6"/>
    </row>
    <row r="305" customFormat="false" ht="15" hidden="false" customHeight="false" outlineLevel="0" collapsed="false">
      <c r="A305" s="9"/>
      <c r="B305" s="6"/>
      <c r="C305" s="6"/>
      <c r="D305" s="6"/>
      <c r="E305" s="6"/>
      <c r="F305" s="6"/>
      <c r="G305" s="11" t="str">
        <f aca="false">IF(OR(E305="",F305=""),"",ROUND(E305*(1+F305/30),1))</f>
        <v/>
      </c>
      <c r="H305" s="18" t="str">
        <f aca="false">IF(G305="","",IF(G305&gt;=_xlfn.MAXIFS($G$2:$G$501,$C$2:$C$501,C305),"PR",""))</f>
        <v/>
      </c>
      <c r="I305" s="6"/>
    </row>
    <row r="306" customFormat="false" ht="15" hidden="false" customHeight="false" outlineLevel="0" collapsed="false">
      <c r="A306" s="9"/>
      <c r="B306" s="6"/>
      <c r="C306" s="6"/>
      <c r="D306" s="6"/>
      <c r="E306" s="6"/>
      <c r="F306" s="6"/>
      <c r="G306" s="11" t="str">
        <f aca="false">IF(OR(E306="",F306=""),"",ROUND(E306*(1+F306/30),1))</f>
        <v/>
      </c>
      <c r="H306" s="18" t="str">
        <f aca="false">IF(G306="","",IF(G306&gt;=_xlfn.MAXIFS($G$2:$G$501,$C$2:$C$501,C306),"PR",""))</f>
        <v/>
      </c>
      <c r="I306" s="6"/>
    </row>
    <row r="307" customFormat="false" ht="15" hidden="false" customHeight="false" outlineLevel="0" collapsed="false">
      <c r="A307" s="9"/>
      <c r="B307" s="6"/>
      <c r="C307" s="6"/>
      <c r="D307" s="6"/>
      <c r="E307" s="6"/>
      <c r="F307" s="6"/>
      <c r="G307" s="11" t="str">
        <f aca="false">IF(OR(E307="",F307=""),"",ROUND(E307*(1+F307/30),1))</f>
        <v/>
      </c>
      <c r="H307" s="18" t="str">
        <f aca="false">IF(G307="","",IF(G307&gt;=_xlfn.MAXIFS($G$2:$G$501,$C$2:$C$501,C307),"PR",""))</f>
        <v/>
      </c>
      <c r="I307" s="6"/>
    </row>
    <row r="308" customFormat="false" ht="15" hidden="false" customHeight="false" outlineLevel="0" collapsed="false">
      <c r="A308" s="9"/>
      <c r="B308" s="6"/>
      <c r="C308" s="6"/>
      <c r="D308" s="6"/>
      <c r="E308" s="6"/>
      <c r="F308" s="6"/>
      <c r="G308" s="11" t="str">
        <f aca="false">IF(OR(E308="",F308=""),"",ROUND(E308*(1+F308/30),1))</f>
        <v/>
      </c>
      <c r="H308" s="18" t="str">
        <f aca="false">IF(G308="","",IF(G308&gt;=_xlfn.MAXIFS($G$2:$G$501,$C$2:$C$501,C308),"PR",""))</f>
        <v/>
      </c>
      <c r="I308" s="6"/>
    </row>
    <row r="309" customFormat="false" ht="15" hidden="false" customHeight="false" outlineLevel="0" collapsed="false">
      <c r="A309" s="9"/>
      <c r="B309" s="6"/>
      <c r="C309" s="6"/>
      <c r="D309" s="6"/>
      <c r="E309" s="6"/>
      <c r="F309" s="6"/>
      <c r="G309" s="11" t="str">
        <f aca="false">IF(OR(E309="",F309=""),"",ROUND(E309*(1+F309/30),1))</f>
        <v/>
      </c>
      <c r="H309" s="18" t="str">
        <f aca="false">IF(G309="","",IF(G309&gt;=_xlfn.MAXIFS($G$2:$G$501,$C$2:$C$501,C309),"PR",""))</f>
        <v/>
      </c>
      <c r="I309" s="6"/>
    </row>
    <row r="310" customFormat="false" ht="15" hidden="false" customHeight="false" outlineLevel="0" collapsed="false">
      <c r="A310" s="9"/>
      <c r="B310" s="6"/>
      <c r="C310" s="6"/>
      <c r="D310" s="6"/>
      <c r="E310" s="6"/>
      <c r="F310" s="6"/>
      <c r="G310" s="11" t="str">
        <f aca="false">IF(OR(E310="",F310=""),"",ROUND(E310*(1+F310/30),1))</f>
        <v/>
      </c>
      <c r="H310" s="18" t="str">
        <f aca="false">IF(G310="","",IF(G310&gt;=_xlfn.MAXIFS($G$2:$G$501,$C$2:$C$501,C310),"PR",""))</f>
        <v/>
      </c>
      <c r="I310" s="6"/>
    </row>
    <row r="311" customFormat="false" ht="15" hidden="false" customHeight="false" outlineLevel="0" collapsed="false">
      <c r="A311" s="9"/>
      <c r="B311" s="6"/>
      <c r="C311" s="6"/>
      <c r="D311" s="6"/>
      <c r="E311" s="6"/>
      <c r="F311" s="6"/>
      <c r="G311" s="11" t="str">
        <f aca="false">IF(OR(E311="",F311=""),"",ROUND(E311*(1+F311/30),1))</f>
        <v/>
      </c>
      <c r="H311" s="18" t="str">
        <f aca="false">IF(G311="","",IF(G311&gt;=_xlfn.MAXIFS($G$2:$G$501,$C$2:$C$501,C311),"PR",""))</f>
        <v/>
      </c>
      <c r="I311" s="6"/>
    </row>
    <row r="312" customFormat="false" ht="15" hidden="false" customHeight="false" outlineLevel="0" collapsed="false">
      <c r="A312" s="9"/>
      <c r="B312" s="6"/>
      <c r="C312" s="6"/>
      <c r="D312" s="6"/>
      <c r="E312" s="6"/>
      <c r="F312" s="6"/>
      <c r="G312" s="11" t="str">
        <f aca="false">IF(OR(E312="",F312=""),"",ROUND(E312*(1+F312/30),1))</f>
        <v/>
      </c>
      <c r="H312" s="18" t="str">
        <f aca="false">IF(G312="","",IF(G312&gt;=_xlfn.MAXIFS($G$2:$G$501,$C$2:$C$501,C312),"PR",""))</f>
        <v/>
      </c>
      <c r="I312" s="6"/>
    </row>
    <row r="313" customFormat="false" ht="15" hidden="false" customHeight="false" outlineLevel="0" collapsed="false">
      <c r="A313" s="9"/>
      <c r="B313" s="6"/>
      <c r="C313" s="6"/>
      <c r="D313" s="6"/>
      <c r="E313" s="6"/>
      <c r="F313" s="6"/>
      <c r="G313" s="11" t="str">
        <f aca="false">IF(OR(E313="",F313=""),"",ROUND(E313*(1+F313/30),1))</f>
        <v/>
      </c>
      <c r="H313" s="18" t="str">
        <f aca="false">IF(G313="","",IF(G313&gt;=_xlfn.MAXIFS($G$2:$G$501,$C$2:$C$501,C313),"PR",""))</f>
        <v/>
      </c>
      <c r="I313" s="6"/>
    </row>
    <row r="314" customFormat="false" ht="15" hidden="false" customHeight="false" outlineLevel="0" collapsed="false">
      <c r="A314" s="9"/>
      <c r="B314" s="6"/>
      <c r="C314" s="6"/>
      <c r="D314" s="6"/>
      <c r="E314" s="6"/>
      <c r="F314" s="6"/>
      <c r="G314" s="11" t="str">
        <f aca="false">IF(OR(E314="",F314=""),"",ROUND(E314*(1+F314/30),1))</f>
        <v/>
      </c>
      <c r="H314" s="18" t="str">
        <f aca="false">IF(G314="","",IF(G314&gt;=_xlfn.MAXIFS($G$2:$G$501,$C$2:$C$501,C314),"PR",""))</f>
        <v/>
      </c>
      <c r="I314" s="6"/>
    </row>
    <row r="315" customFormat="false" ht="15" hidden="false" customHeight="false" outlineLevel="0" collapsed="false">
      <c r="A315" s="9"/>
      <c r="B315" s="6"/>
      <c r="C315" s="6"/>
      <c r="D315" s="6"/>
      <c r="E315" s="6"/>
      <c r="F315" s="6"/>
      <c r="G315" s="11" t="str">
        <f aca="false">IF(OR(E315="",F315=""),"",ROUND(E315*(1+F315/30),1))</f>
        <v/>
      </c>
      <c r="H315" s="18" t="str">
        <f aca="false">IF(G315="","",IF(G315&gt;=_xlfn.MAXIFS($G$2:$G$501,$C$2:$C$501,C315),"PR",""))</f>
        <v/>
      </c>
      <c r="I315" s="6"/>
    </row>
    <row r="316" customFormat="false" ht="15" hidden="false" customHeight="false" outlineLevel="0" collapsed="false">
      <c r="A316" s="9"/>
      <c r="B316" s="6"/>
      <c r="C316" s="6"/>
      <c r="D316" s="6"/>
      <c r="E316" s="6"/>
      <c r="F316" s="6"/>
      <c r="G316" s="11" t="str">
        <f aca="false">IF(OR(E316="",F316=""),"",ROUND(E316*(1+F316/30),1))</f>
        <v/>
      </c>
      <c r="H316" s="18" t="str">
        <f aca="false">IF(G316="","",IF(G316&gt;=_xlfn.MAXIFS($G$2:$G$501,$C$2:$C$501,C316),"PR",""))</f>
        <v/>
      </c>
      <c r="I316" s="6"/>
    </row>
    <row r="317" customFormat="false" ht="15" hidden="false" customHeight="false" outlineLevel="0" collapsed="false">
      <c r="A317" s="9"/>
      <c r="B317" s="6"/>
      <c r="C317" s="6"/>
      <c r="D317" s="6"/>
      <c r="E317" s="6"/>
      <c r="F317" s="6"/>
      <c r="G317" s="11" t="str">
        <f aca="false">IF(OR(E317="",F317=""),"",ROUND(E317*(1+F317/30),1))</f>
        <v/>
      </c>
      <c r="H317" s="18" t="str">
        <f aca="false">IF(G317="","",IF(G317&gt;=_xlfn.MAXIFS($G$2:$G$501,$C$2:$C$501,C317),"PR",""))</f>
        <v/>
      </c>
      <c r="I317" s="6"/>
    </row>
    <row r="318" customFormat="false" ht="15" hidden="false" customHeight="false" outlineLevel="0" collapsed="false">
      <c r="A318" s="9"/>
      <c r="B318" s="6"/>
      <c r="C318" s="6"/>
      <c r="D318" s="6"/>
      <c r="E318" s="6"/>
      <c r="F318" s="6"/>
      <c r="G318" s="11" t="str">
        <f aca="false">IF(OR(E318="",F318=""),"",ROUND(E318*(1+F318/30),1))</f>
        <v/>
      </c>
      <c r="H318" s="18" t="str">
        <f aca="false">IF(G318="","",IF(G318&gt;=_xlfn.MAXIFS($G$2:$G$501,$C$2:$C$501,C318),"PR",""))</f>
        <v/>
      </c>
      <c r="I318" s="6"/>
    </row>
    <row r="319" customFormat="false" ht="15" hidden="false" customHeight="false" outlineLevel="0" collapsed="false">
      <c r="A319" s="9"/>
      <c r="B319" s="6"/>
      <c r="C319" s="6"/>
      <c r="D319" s="6"/>
      <c r="E319" s="6"/>
      <c r="F319" s="6"/>
      <c r="G319" s="11" t="str">
        <f aca="false">IF(OR(E319="",F319=""),"",ROUND(E319*(1+F319/30),1))</f>
        <v/>
      </c>
      <c r="H319" s="18" t="str">
        <f aca="false">IF(G319="","",IF(G319&gt;=_xlfn.MAXIFS($G$2:$G$501,$C$2:$C$501,C319),"PR",""))</f>
        <v/>
      </c>
      <c r="I319" s="6"/>
    </row>
    <row r="320" customFormat="false" ht="15" hidden="false" customHeight="false" outlineLevel="0" collapsed="false">
      <c r="A320" s="9"/>
      <c r="B320" s="6"/>
      <c r="C320" s="6"/>
      <c r="D320" s="6"/>
      <c r="E320" s="6"/>
      <c r="F320" s="6"/>
      <c r="G320" s="11" t="str">
        <f aca="false">IF(OR(E320="",F320=""),"",ROUND(E320*(1+F320/30),1))</f>
        <v/>
      </c>
      <c r="H320" s="18" t="str">
        <f aca="false">IF(G320="","",IF(G320&gt;=_xlfn.MAXIFS($G$2:$G$501,$C$2:$C$501,C320),"PR",""))</f>
        <v/>
      </c>
      <c r="I320" s="6"/>
    </row>
    <row r="321" customFormat="false" ht="15" hidden="false" customHeight="false" outlineLevel="0" collapsed="false">
      <c r="A321" s="9"/>
      <c r="B321" s="6"/>
      <c r="C321" s="6"/>
      <c r="D321" s="6"/>
      <c r="E321" s="6"/>
      <c r="F321" s="6"/>
      <c r="G321" s="11" t="str">
        <f aca="false">IF(OR(E321="",F321=""),"",ROUND(E321*(1+F321/30),1))</f>
        <v/>
      </c>
      <c r="H321" s="18" t="str">
        <f aca="false">IF(G321="","",IF(G321&gt;=_xlfn.MAXIFS($G$2:$G$501,$C$2:$C$501,C321),"PR",""))</f>
        <v/>
      </c>
      <c r="I321" s="6"/>
    </row>
    <row r="322" customFormat="false" ht="15" hidden="false" customHeight="false" outlineLevel="0" collapsed="false">
      <c r="A322" s="9"/>
      <c r="B322" s="6"/>
      <c r="C322" s="6"/>
      <c r="D322" s="6"/>
      <c r="E322" s="6"/>
      <c r="F322" s="6"/>
      <c r="G322" s="11" t="str">
        <f aca="false">IF(OR(E322="",F322=""),"",ROUND(E322*(1+F322/30),1))</f>
        <v/>
      </c>
      <c r="H322" s="18" t="str">
        <f aca="false">IF(G322="","",IF(G322&gt;=_xlfn.MAXIFS($G$2:$G$501,$C$2:$C$501,C322),"PR",""))</f>
        <v/>
      </c>
      <c r="I322" s="6"/>
    </row>
    <row r="323" customFormat="false" ht="15" hidden="false" customHeight="false" outlineLevel="0" collapsed="false">
      <c r="A323" s="9"/>
      <c r="B323" s="6"/>
      <c r="C323" s="6"/>
      <c r="D323" s="6"/>
      <c r="E323" s="6"/>
      <c r="F323" s="6"/>
      <c r="G323" s="11" t="str">
        <f aca="false">IF(OR(E323="",F323=""),"",ROUND(E323*(1+F323/30),1))</f>
        <v/>
      </c>
      <c r="H323" s="18" t="str">
        <f aca="false">IF(G323="","",IF(G323&gt;=_xlfn.MAXIFS($G$2:$G$501,$C$2:$C$501,C323),"PR",""))</f>
        <v/>
      </c>
      <c r="I323" s="6"/>
    </row>
    <row r="324" customFormat="false" ht="15" hidden="false" customHeight="false" outlineLevel="0" collapsed="false">
      <c r="A324" s="9"/>
      <c r="B324" s="6"/>
      <c r="C324" s="6"/>
      <c r="D324" s="6"/>
      <c r="E324" s="6"/>
      <c r="F324" s="6"/>
      <c r="G324" s="11" t="str">
        <f aca="false">IF(OR(E324="",F324=""),"",ROUND(E324*(1+F324/30),1))</f>
        <v/>
      </c>
      <c r="H324" s="18" t="str">
        <f aca="false">IF(G324="","",IF(G324&gt;=_xlfn.MAXIFS($G$2:$G$501,$C$2:$C$501,C324),"PR",""))</f>
        <v/>
      </c>
      <c r="I324" s="6"/>
    </row>
    <row r="325" customFormat="false" ht="15" hidden="false" customHeight="false" outlineLevel="0" collapsed="false">
      <c r="A325" s="9"/>
      <c r="B325" s="6"/>
      <c r="C325" s="6"/>
      <c r="D325" s="6"/>
      <c r="E325" s="6"/>
      <c r="F325" s="6"/>
      <c r="G325" s="11" t="str">
        <f aca="false">IF(OR(E325="",F325=""),"",ROUND(E325*(1+F325/30),1))</f>
        <v/>
      </c>
      <c r="H325" s="18" t="str">
        <f aca="false">IF(G325="","",IF(G325&gt;=_xlfn.MAXIFS($G$2:$G$501,$C$2:$C$501,C325),"PR",""))</f>
        <v/>
      </c>
      <c r="I325" s="6"/>
    </row>
    <row r="326" customFormat="false" ht="15" hidden="false" customHeight="false" outlineLevel="0" collapsed="false">
      <c r="A326" s="9"/>
      <c r="B326" s="6"/>
      <c r="C326" s="6"/>
      <c r="D326" s="6"/>
      <c r="E326" s="6"/>
      <c r="F326" s="6"/>
      <c r="G326" s="11" t="str">
        <f aca="false">IF(OR(E326="",F326=""),"",ROUND(E326*(1+F326/30),1))</f>
        <v/>
      </c>
      <c r="H326" s="18" t="str">
        <f aca="false">IF(G326="","",IF(G326&gt;=_xlfn.MAXIFS($G$2:$G$501,$C$2:$C$501,C326),"PR",""))</f>
        <v/>
      </c>
      <c r="I326" s="6"/>
    </row>
    <row r="327" customFormat="false" ht="15" hidden="false" customHeight="false" outlineLevel="0" collapsed="false">
      <c r="A327" s="9"/>
      <c r="B327" s="6"/>
      <c r="C327" s="6"/>
      <c r="D327" s="6"/>
      <c r="E327" s="6"/>
      <c r="F327" s="6"/>
      <c r="G327" s="11" t="str">
        <f aca="false">IF(OR(E327="",F327=""),"",ROUND(E327*(1+F327/30),1))</f>
        <v/>
      </c>
      <c r="H327" s="18" t="str">
        <f aca="false">IF(G327="","",IF(G327&gt;=_xlfn.MAXIFS($G$2:$G$501,$C$2:$C$501,C327),"PR",""))</f>
        <v/>
      </c>
      <c r="I327" s="6"/>
    </row>
    <row r="328" customFormat="false" ht="15" hidden="false" customHeight="false" outlineLevel="0" collapsed="false">
      <c r="A328" s="9"/>
      <c r="B328" s="6"/>
      <c r="C328" s="6"/>
      <c r="D328" s="6"/>
      <c r="E328" s="6"/>
      <c r="F328" s="6"/>
      <c r="G328" s="11" t="str">
        <f aca="false">IF(OR(E328="",F328=""),"",ROUND(E328*(1+F328/30),1))</f>
        <v/>
      </c>
      <c r="H328" s="18" t="str">
        <f aca="false">IF(G328="","",IF(G328&gt;=_xlfn.MAXIFS($G$2:$G$501,$C$2:$C$501,C328),"PR",""))</f>
        <v/>
      </c>
      <c r="I328" s="6"/>
    </row>
    <row r="329" customFormat="false" ht="15" hidden="false" customHeight="false" outlineLevel="0" collapsed="false">
      <c r="A329" s="9"/>
      <c r="B329" s="6"/>
      <c r="C329" s="6"/>
      <c r="D329" s="6"/>
      <c r="E329" s="6"/>
      <c r="F329" s="6"/>
      <c r="G329" s="11" t="str">
        <f aca="false">IF(OR(E329="",F329=""),"",ROUND(E329*(1+F329/30),1))</f>
        <v/>
      </c>
      <c r="H329" s="18" t="str">
        <f aca="false">IF(G329="","",IF(G329&gt;=_xlfn.MAXIFS($G$2:$G$501,$C$2:$C$501,C329),"PR",""))</f>
        <v/>
      </c>
      <c r="I329" s="6"/>
    </row>
    <row r="330" customFormat="false" ht="15" hidden="false" customHeight="false" outlineLevel="0" collapsed="false">
      <c r="A330" s="9"/>
      <c r="B330" s="6"/>
      <c r="C330" s="6"/>
      <c r="D330" s="6"/>
      <c r="E330" s="6"/>
      <c r="F330" s="6"/>
      <c r="G330" s="11" t="str">
        <f aca="false">IF(OR(E330="",F330=""),"",ROUND(E330*(1+F330/30),1))</f>
        <v/>
      </c>
      <c r="H330" s="18" t="str">
        <f aca="false">IF(G330="","",IF(G330&gt;=_xlfn.MAXIFS($G$2:$G$501,$C$2:$C$501,C330),"PR",""))</f>
        <v/>
      </c>
      <c r="I330" s="6"/>
    </row>
    <row r="331" customFormat="false" ht="15" hidden="false" customHeight="false" outlineLevel="0" collapsed="false">
      <c r="A331" s="9"/>
      <c r="B331" s="6"/>
      <c r="C331" s="6"/>
      <c r="D331" s="6"/>
      <c r="E331" s="6"/>
      <c r="F331" s="6"/>
      <c r="G331" s="11" t="str">
        <f aca="false">IF(OR(E331="",F331=""),"",ROUND(E331*(1+F331/30),1))</f>
        <v/>
      </c>
      <c r="H331" s="18" t="str">
        <f aca="false">IF(G331="","",IF(G331&gt;=_xlfn.MAXIFS($G$2:$G$501,$C$2:$C$501,C331),"PR",""))</f>
        <v/>
      </c>
      <c r="I331" s="6"/>
    </row>
    <row r="332" customFormat="false" ht="15" hidden="false" customHeight="false" outlineLevel="0" collapsed="false">
      <c r="A332" s="9"/>
      <c r="B332" s="6"/>
      <c r="C332" s="6"/>
      <c r="D332" s="6"/>
      <c r="E332" s="6"/>
      <c r="F332" s="6"/>
      <c r="G332" s="11" t="str">
        <f aca="false">IF(OR(E332="",F332=""),"",ROUND(E332*(1+F332/30),1))</f>
        <v/>
      </c>
      <c r="H332" s="18" t="str">
        <f aca="false">IF(G332="","",IF(G332&gt;=_xlfn.MAXIFS($G$2:$G$501,$C$2:$C$501,C332),"PR",""))</f>
        <v/>
      </c>
      <c r="I332" s="6"/>
    </row>
    <row r="333" customFormat="false" ht="15" hidden="false" customHeight="false" outlineLevel="0" collapsed="false">
      <c r="A333" s="9"/>
      <c r="B333" s="6"/>
      <c r="C333" s="6"/>
      <c r="D333" s="6"/>
      <c r="E333" s="6"/>
      <c r="F333" s="6"/>
      <c r="G333" s="11" t="str">
        <f aca="false">IF(OR(E333="",F333=""),"",ROUND(E333*(1+F333/30),1))</f>
        <v/>
      </c>
      <c r="H333" s="18" t="str">
        <f aca="false">IF(G333="","",IF(G333&gt;=_xlfn.MAXIFS($G$2:$G$501,$C$2:$C$501,C333),"PR",""))</f>
        <v/>
      </c>
      <c r="I333" s="6"/>
    </row>
    <row r="334" customFormat="false" ht="15" hidden="false" customHeight="false" outlineLevel="0" collapsed="false">
      <c r="A334" s="9"/>
      <c r="B334" s="6"/>
      <c r="C334" s="6"/>
      <c r="D334" s="6"/>
      <c r="E334" s="6"/>
      <c r="F334" s="6"/>
      <c r="G334" s="11" t="str">
        <f aca="false">IF(OR(E334="",F334=""),"",ROUND(E334*(1+F334/30),1))</f>
        <v/>
      </c>
      <c r="H334" s="18" t="str">
        <f aca="false">IF(G334="","",IF(G334&gt;=_xlfn.MAXIFS($G$2:$G$501,$C$2:$C$501,C334),"PR",""))</f>
        <v/>
      </c>
      <c r="I334" s="6"/>
    </row>
    <row r="335" customFormat="false" ht="15" hidden="false" customHeight="false" outlineLevel="0" collapsed="false">
      <c r="A335" s="9"/>
      <c r="B335" s="6"/>
      <c r="C335" s="6"/>
      <c r="D335" s="6"/>
      <c r="E335" s="6"/>
      <c r="F335" s="6"/>
      <c r="G335" s="11" t="str">
        <f aca="false">IF(OR(E335="",F335=""),"",ROUND(E335*(1+F335/30),1))</f>
        <v/>
      </c>
      <c r="H335" s="18" t="str">
        <f aca="false">IF(G335="","",IF(G335&gt;=_xlfn.MAXIFS($G$2:$G$501,$C$2:$C$501,C335),"PR",""))</f>
        <v/>
      </c>
      <c r="I335" s="6"/>
    </row>
    <row r="336" customFormat="false" ht="15" hidden="false" customHeight="false" outlineLevel="0" collapsed="false">
      <c r="A336" s="9"/>
      <c r="B336" s="6"/>
      <c r="C336" s="6"/>
      <c r="D336" s="6"/>
      <c r="E336" s="6"/>
      <c r="F336" s="6"/>
      <c r="G336" s="11" t="str">
        <f aca="false">IF(OR(E336="",F336=""),"",ROUND(E336*(1+F336/30),1))</f>
        <v/>
      </c>
      <c r="H336" s="18" t="str">
        <f aca="false">IF(G336="","",IF(G336&gt;=_xlfn.MAXIFS($G$2:$G$501,$C$2:$C$501,C336),"PR",""))</f>
        <v/>
      </c>
      <c r="I336" s="6"/>
    </row>
    <row r="337" customFormat="false" ht="15" hidden="false" customHeight="false" outlineLevel="0" collapsed="false">
      <c r="A337" s="9"/>
      <c r="B337" s="6"/>
      <c r="C337" s="6"/>
      <c r="D337" s="6"/>
      <c r="E337" s="6"/>
      <c r="F337" s="6"/>
      <c r="G337" s="11" t="str">
        <f aca="false">IF(OR(E337="",F337=""),"",ROUND(E337*(1+F337/30),1))</f>
        <v/>
      </c>
      <c r="H337" s="18" t="str">
        <f aca="false">IF(G337="","",IF(G337&gt;=_xlfn.MAXIFS($G$2:$G$501,$C$2:$C$501,C337),"PR",""))</f>
        <v/>
      </c>
      <c r="I337" s="6"/>
    </row>
    <row r="338" customFormat="false" ht="15" hidden="false" customHeight="false" outlineLevel="0" collapsed="false">
      <c r="A338" s="9"/>
      <c r="B338" s="6"/>
      <c r="C338" s="6"/>
      <c r="D338" s="6"/>
      <c r="E338" s="6"/>
      <c r="F338" s="6"/>
      <c r="G338" s="11" t="str">
        <f aca="false">IF(OR(E338="",F338=""),"",ROUND(E338*(1+F338/30),1))</f>
        <v/>
      </c>
      <c r="H338" s="18" t="str">
        <f aca="false">IF(G338="","",IF(G338&gt;=_xlfn.MAXIFS($G$2:$G$501,$C$2:$C$501,C338),"PR",""))</f>
        <v/>
      </c>
      <c r="I338" s="6"/>
    </row>
    <row r="339" customFormat="false" ht="15" hidden="false" customHeight="false" outlineLevel="0" collapsed="false">
      <c r="A339" s="9"/>
      <c r="B339" s="6"/>
      <c r="C339" s="6"/>
      <c r="D339" s="6"/>
      <c r="E339" s="6"/>
      <c r="F339" s="6"/>
      <c r="G339" s="11" t="str">
        <f aca="false">IF(OR(E339="",F339=""),"",ROUND(E339*(1+F339/30),1))</f>
        <v/>
      </c>
      <c r="H339" s="18" t="str">
        <f aca="false">IF(G339="","",IF(G339&gt;=_xlfn.MAXIFS($G$2:$G$501,$C$2:$C$501,C339),"PR",""))</f>
        <v/>
      </c>
      <c r="I339" s="6"/>
    </row>
    <row r="340" customFormat="false" ht="15" hidden="false" customHeight="false" outlineLevel="0" collapsed="false">
      <c r="A340" s="9"/>
      <c r="B340" s="6"/>
      <c r="C340" s="6"/>
      <c r="D340" s="6"/>
      <c r="E340" s="6"/>
      <c r="F340" s="6"/>
      <c r="G340" s="11" t="str">
        <f aca="false">IF(OR(E340="",F340=""),"",ROUND(E340*(1+F340/30),1))</f>
        <v/>
      </c>
      <c r="H340" s="18" t="str">
        <f aca="false">IF(G340="","",IF(G340&gt;=_xlfn.MAXIFS($G$2:$G$501,$C$2:$C$501,C340),"PR",""))</f>
        <v/>
      </c>
      <c r="I340" s="6"/>
    </row>
    <row r="341" customFormat="false" ht="15" hidden="false" customHeight="false" outlineLevel="0" collapsed="false">
      <c r="A341" s="9"/>
      <c r="B341" s="6"/>
      <c r="C341" s="6"/>
      <c r="D341" s="6"/>
      <c r="E341" s="6"/>
      <c r="F341" s="6"/>
      <c r="G341" s="11" t="str">
        <f aca="false">IF(OR(E341="",F341=""),"",ROUND(E341*(1+F341/30),1))</f>
        <v/>
      </c>
      <c r="H341" s="18" t="str">
        <f aca="false">IF(G341="","",IF(G341&gt;=_xlfn.MAXIFS($G$2:$G$501,$C$2:$C$501,C341),"PR",""))</f>
        <v/>
      </c>
      <c r="I341" s="6"/>
    </row>
    <row r="342" customFormat="false" ht="15" hidden="false" customHeight="false" outlineLevel="0" collapsed="false">
      <c r="A342" s="9"/>
      <c r="B342" s="6"/>
      <c r="C342" s="6"/>
      <c r="D342" s="6"/>
      <c r="E342" s="6"/>
      <c r="F342" s="6"/>
      <c r="G342" s="11" t="str">
        <f aca="false">IF(OR(E342="",F342=""),"",ROUND(E342*(1+F342/30),1))</f>
        <v/>
      </c>
      <c r="H342" s="18" t="str">
        <f aca="false">IF(G342="","",IF(G342&gt;=_xlfn.MAXIFS($G$2:$G$501,$C$2:$C$501,C342),"PR",""))</f>
        <v/>
      </c>
      <c r="I342" s="6"/>
    </row>
    <row r="343" customFormat="false" ht="15" hidden="false" customHeight="false" outlineLevel="0" collapsed="false">
      <c r="A343" s="9"/>
      <c r="B343" s="6"/>
      <c r="C343" s="6"/>
      <c r="D343" s="6"/>
      <c r="E343" s="6"/>
      <c r="F343" s="6"/>
      <c r="G343" s="11" t="str">
        <f aca="false">IF(OR(E343="",F343=""),"",ROUND(E343*(1+F343/30),1))</f>
        <v/>
      </c>
      <c r="H343" s="18" t="str">
        <f aca="false">IF(G343="","",IF(G343&gt;=_xlfn.MAXIFS($G$2:$G$501,$C$2:$C$501,C343),"PR",""))</f>
        <v/>
      </c>
      <c r="I343" s="6"/>
    </row>
    <row r="344" customFormat="false" ht="15" hidden="false" customHeight="false" outlineLevel="0" collapsed="false">
      <c r="A344" s="9"/>
      <c r="B344" s="6"/>
      <c r="C344" s="6"/>
      <c r="D344" s="6"/>
      <c r="E344" s="6"/>
      <c r="F344" s="6"/>
      <c r="G344" s="11" t="str">
        <f aca="false">IF(OR(E344="",F344=""),"",ROUND(E344*(1+F344/30),1))</f>
        <v/>
      </c>
      <c r="H344" s="18" t="str">
        <f aca="false">IF(G344="","",IF(G344&gt;=_xlfn.MAXIFS($G$2:$G$501,$C$2:$C$501,C344),"PR",""))</f>
        <v/>
      </c>
      <c r="I344" s="6"/>
    </row>
    <row r="345" customFormat="false" ht="15" hidden="false" customHeight="false" outlineLevel="0" collapsed="false">
      <c r="A345" s="9"/>
      <c r="B345" s="6"/>
      <c r="C345" s="6"/>
      <c r="D345" s="6"/>
      <c r="E345" s="6"/>
      <c r="F345" s="6"/>
      <c r="G345" s="11" t="str">
        <f aca="false">IF(OR(E345="",F345=""),"",ROUND(E345*(1+F345/30),1))</f>
        <v/>
      </c>
      <c r="H345" s="18" t="str">
        <f aca="false">IF(G345="","",IF(G345&gt;=_xlfn.MAXIFS($G$2:$G$501,$C$2:$C$501,C345),"PR",""))</f>
        <v/>
      </c>
      <c r="I345" s="6"/>
    </row>
    <row r="346" customFormat="false" ht="15" hidden="false" customHeight="false" outlineLevel="0" collapsed="false">
      <c r="A346" s="9"/>
      <c r="B346" s="6"/>
      <c r="C346" s="6"/>
      <c r="D346" s="6"/>
      <c r="E346" s="6"/>
      <c r="F346" s="6"/>
      <c r="G346" s="11" t="str">
        <f aca="false">IF(OR(E346="",F346=""),"",ROUND(E346*(1+F346/30),1))</f>
        <v/>
      </c>
      <c r="H346" s="18" t="str">
        <f aca="false">IF(G346="","",IF(G346&gt;=_xlfn.MAXIFS($G$2:$G$501,$C$2:$C$501,C346),"PR",""))</f>
        <v/>
      </c>
      <c r="I346" s="6"/>
    </row>
    <row r="347" customFormat="false" ht="15" hidden="false" customHeight="false" outlineLevel="0" collapsed="false">
      <c r="A347" s="9"/>
      <c r="B347" s="6"/>
      <c r="C347" s="6"/>
      <c r="D347" s="6"/>
      <c r="E347" s="6"/>
      <c r="F347" s="6"/>
      <c r="G347" s="11" t="str">
        <f aca="false">IF(OR(E347="",F347=""),"",ROUND(E347*(1+F347/30),1))</f>
        <v/>
      </c>
      <c r="H347" s="18" t="str">
        <f aca="false">IF(G347="","",IF(G347&gt;=_xlfn.MAXIFS($G$2:$G$501,$C$2:$C$501,C347),"PR",""))</f>
        <v/>
      </c>
      <c r="I347" s="6"/>
    </row>
    <row r="348" customFormat="false" ht="15" hidden="false" customHeight="false" outlineLevel="0" collapsed="false">
      <c r="A348" s="9"/>
      <c r="B348" s="6"/>
      <c r="C348" s="6"/>
      <c r="D348" s="6"/>
      <c r="E348" s="6"/>
      <c r="F348" s="6"/>
      <c r="G348" s="11" t="str">
        <f aca="false">IF(OR(E348="",F348=""),"",ROUND(E348*(1+F348/30),1))</f>
        <v/>
      </c>
      <c r="H348" s="18" t="str">
        <f aca="false">IF(G348="","",IF(G348&gt;=_xlfn.MAXIFS($G$2:$G$501,$C$2:$C$501,C348),"PR",""))</f>
        <v/>
      </c>
      <c r="I348" s="6"/>
    </row>
    <row r="349" customFormat="false" ht="15" hidden="false" customHeight="false" outlineLevel="0" collapsed="false">
      <c r="A349" s="9"/>
      <c r="B349" s="6"/>
      <c r="C349" s="6"/>
      <c r="D349" s="6"/>
      <c r="E349" s="6"/>
      <c r="F349" s="6"/>
      <c r="G349" s="11" t="str">
        <f aca="false">IF(OR(E349="",F349=""),"",ROUND(E349*(1+F349/30),1))</f>
        <v/>
      </c>
      <c r="H349" s="18" t="str">
        <f aca="false">IF(G349="","",IF(G349&gt;=_xlfn.MAXIFS($G$2:$G$501,$C$2:$C$501,C349),"PR",""))</f>
        <v/>
      </c>
      <c r="I349" s="6"/>
    </row>
    <row r="350" customFormat="false" ht="15" hidden="false" customHeight="false" outlineLevel="0" collapsed="false">
      <c r="A350" s="9"/>
      <c r="B350" s="6"/>
      <c r="C350" s="6"/>
      <c r="D350" s="6"/>
      <c r="E350" s="6"/>
      <c r="F350" s="6"/>
      <c r="G350" s="11" t="str">
        <f aca="false">IF(OR(E350="",F350=""),"",ROUND(E350*(1+F350/30),1))</f>
        <v/>
      </c>
      <c r="H350" s="18" t="str">
        <f aca="false">IF(G350="","",IF(G350&gt;=_xlfn.MAXIFS($G$2:$G$501,$C$2:$C$501,C350),"PR",""))</f>
        <v/>
      </c>
      <c r="I350" s="6"/>
    </row>
    <row r="351" customFormat="false" ht="15" hidden="false" customHeight="false" outlineLevel="0" collapsed="false">
      <c r="A351" s="9"/>
      <c r="B351" s="6"/>
      <c r="C351" s="6"/>
      <c r="D351" s="6"/>
      <c r="E351" s="6"/>
      <c r="F351" s="6"/>
      <c r="G351" s="11" t="str">
        <f aca="false">IF(OR(E351="",F351=""),"",ROUND(E351*(1+F351/30),1))</f>
        <v/>
      </c>
      <c r="H351" s="18" t="str">
        <f aca="false">IF(G351="","",IF(G351&gt;=_xlfn.MAXIFS($G$2:$G$501,$C$2:$C$501,C351),"PR",""))</f>
        <v/>
      </c>
      <c r="I351" s="6"/>
    </row>
    <row r="352" customFormat="false" ht="15" hidden="false" customHeight="false" outlineLevel="0" collapsed="false">
      <c r="A352" s="9"/>
      <c r="B352" s="6"/>
      <c r="C352" s="6"/>
      <c r="D352" s="6"/>
      <c r="E352" s="6"/>
      <c r="F352" s="6"/>
      <c r="G352" s="11" t="str">
        <f aca="false">IF(OR(E352="",F352=""),"",ROUND(E352*(1+F352/30),1))</f>
        <v/>
      </c>
      <c r="H352" s="18" t="str">
        <f aca="false">IF(G352="","",IF(G352&gt;=_xlfn.MAXIFS($G$2:$G$501,$C$2:$C$501,C352),"PR",""))</f>
        <v/>
      </c>
      <c r="I352" s="6"/>
    </row>
    <row r="353" customFormat="false" ht="15" hidden="false" customHeight="false" outlineLevel="0" collapsed="false">
      <c r="A353" s="9"/>
      <c r="B353" s="6"/>
      <c r="C353" s="6"/>
      <c r="D353" s="6"/>
      <c r="E353" s="6"/>
      <c r="F353" s="6"/>
      <c r="G353" s="11" t="str">
        <f aca="false">IF(OR(E353="",F353=""),"",ROUND(E353*(1+F353/30),1))</f>
        <v/>
      </c>
      <c r="H353" s="18" t="str">
        <f aca="false">IF(G353="","",IF(G353&gt;=_xlfn.MAXIFS($G$2:$G$501,$C$2:$C$501,C353),"PR",""))</f>
        <v/>
      </c>
      <c r="I353" s="6"/>
    </row>
    <row r="354" customFormat="false" ht="15" hidden="false" customHeight="false" outlineLevel="0" collapsed="false">
      <c r="A354" s="9"/>
      <c r="B354" s="6"/>
      <c r="C354" s="6"/>
      <c r="D354" s="6"/>
      <c r="E354" s="6"/>
      <c r="F354" s="6"/>
      <c r="G354" s="11" t="str">
        <f aca="false">IF(OR(E354="",F354=""),"",ROUND(E354*(1+F354/30),1))</f>
        <v/>
      </c>
      <c r="H354" s="18" t="str">
        <f aca="false">IF(G354="","",IF(G354&gt;=_xlfn.MAXIFS($G$2:$G$501,$C$2:$C$501,C354),"PR",""))</f>
        <v/>
      </c>
      <c r="I354" s="6"/>
    </row>
    <row r="355" customFormat="false" ht="15" hidden="false" customHeight="false" outlineLevel="0" collapsed="false">
      <c r="A355" s="9"/>
      <c r="B355" s="6"/>
      <c r="C355" s="6"/>
      <c r="D355" s="6"/>
      <c r="E355" s="6"/>
      <c r="F355" s="6"/>
      <c r="G355" s="11" t="str">
        <f aca="false">IF(OR(E355="",F355=""),"",ROUND(E355*(1+F355/30),1))</f>
        <v/>
      </c>
      <c r="H355" s="18" t="str">
        <f aca="false">IF(G355="","",IF(G355&gt;=_xlfn.MAXIFS($G$2:$G$501,$C$2:$C$501,C355),"PR",""))</f>
        <v/>
      </c>
      <c r="I355" s="6"/>
    </row>
    <row r="356" customFormat="false" ht="15" hidden="false" customHeight="false" outlineLevel="0" collapsed="false">
      <c r="A356" s="9"/>
      <c r="B356" s="6"/>
      <c r="C356" s="6"/>
      <c r="D356" s="6"/>
      <c r="E356" s="6"/>
      <c r="F356" s="6"/>
      <c r="G356" s="11" t="str">
        <f aca="false">IF(OR(E356="",F356=""),"",ROUND(E356*(1+F356/30),1))</f>
        <v/>
      </c>
      <c r="H356" s="18" t="str">
        <f aca="false">IF(G356="","",IF(G356&gt;=_xlfn.MAXIFS($G$2:$G$501,$C$2:$C$501,C356),"PR",""))</f>
        <v/>
      </c>
      <c r="I356" s="6"/>
    </row>
    <row r="357" customFormat="false" ht="15" hidden="false" customHeight="false" outlineLevel="0" collapsed="false">
      <c r="A357" s="9"/>
      <c r="B357" s="6"/>
      <c r="C357" s="6"/>
      <c r="D357" s="6"/>
      <c r="E357" s="6"/>
      <c r="F357" s="6"/>
      <c r="G357" s="11" t="str">
        <f aca="false">IF(OR(E357="",F357=""),"",ROUND(E357*(1+F357/30),1))</f>
        <v/>
      </c>
      <c r="H357" s="18" t="str">
        <f aca="false">IF(G357="","",IF(G357&gt;=_xlfn.MAXIFS($G$2:$G$501,$C$2:$C$501,C357),"PR",""))</f>
        <v/>
      </c>
      <c r="I357" s="6"/>
    </row>
    <row r="358" customFormat="false" ht="15" hidden="false" customHeight="false" outlineLevel="0" collapsed="false">
      <c r="A358" s="9"/>
      <c r="B358" s="6"/>
      <c r="C358" s="6"/>
      <c r="D358" s="6"/>
      <c r="E358" s="6"/>
      <c r="F358" s="6"/>
      <c r="G358" s="11" t="str">
        <f aca="false">IF(OR(E358="",F358=""),"",ROUND(E358*(1+F358/30),1))</f>
        <v/>
      </c>
      <c r="H358" s="18" t="str">
        <f aca="false">IF(G358="","",IF(G358&gt;=_xlfn.MAXIFS($G$2:$G$501,$C$2:$C$501,C358),"PR",""))</f>
        <v/>
      </c>
      <c r="I358" s="6"/>
    </row>
    <row r="359" customFormat="false" ht="15" hidden="false" customHeight="false" outlineLevel="0" collapsed="false">
      <c r="A359" s="9"/>
      <c r="B359" s="6"/>
      <c r="C359" s="6"/>
      <c r="D359" s="6"/>
      <c r="E359" s="6"/>
      <c r="F359" s="6"/>
      <c r="G359" s="11" t="str">
        <f aca="false">IF(OR(E359="",F359=""),"",ROUND(E359*(1+F359/30),1))</f>
        <v/>
      </c>
      <c r="H359" s="18" t="str">
        <f aca="false">IF(G359="","",IF(G359&gt;=_xlfn.MAXIFS($G$2:$G$501,$C$2:$C$501,C359),"PR",""))</f>
        <v/>
      </c>
      <c r="I359" s="6"/>
    </row>
    <row r="360" customFormat="false" ht="15" hidden="false" customHeight="false" outlineLevel="0" collapsed="false">
      <c r="A360" s="9"/>
      <c r="B360" s="6"/>
      <c r="C360" s="6"/>
      <c r="D360" s="6"/>
      <c r="E360" s="6"/>
      <c r="F360" s="6"/>
      <c r="G360" s="11" t="str">
        <f aca="false">IF(OR(E360="",F360=""),"",ROUND(E360*(1+F360/30),1))</f>
        <v/>
      </c>
      <c r="H360" s="18" t="str">
        <f aca="false">IF(G360="","",IF(G360&gt;=_xlfn.MAXIFS($G$2:$G$501,$C$2:$C$501,C360),"PR",""))</f>
        <v/>
      </c>
      <c r="I360" s="6"/>
    </row>
    <row r="361" customFormat="false" ht="15" hidden="false" customHeight="false" outlineLevel="0" collapsed="false">
      <c r="A361" s="9"/>
      <c r="B361" s="6"/>
      <c r="C361" s="6"/>
      <c r="D361" s="6"/>
      <c r="E361" s="6"/>
      <c r="F361" s="6"/>
      <c r="G361" s="11" t="str">
        <f aca="false">IF(OR(E361="",F361=""),"",ROUND(E361*(1+F361/30),1))</f>
        <v/>
      </c>
      <c r="H361" s="18" t="str">
        <f aca="false">IF(G361="","",IF(G361&gt;=_xlfn.MAXIFS($G$2:$G$501,$C$2:$C$501,C361),"PR",""))</f>
        <v/>
      </c>
      <c r="I361" s="6"/>
    </row>
    <row r="362" customFormat="false" ht="15" hidden="false" customHeight="false" outlineLevel="0" collapsed="false">
      <c r="A362" s="9"/>
      <c r="B362" s="6"/>
      <c r="C362" s="6"/>
      <c r="D362" s="6"/>
      <c r="E362" s="6"/>
      <c r="F362" s="6"/>
      <c r="G362" s="11" t="str">
        <f aca="false">IF(OR(E362="",F362=""),"",ROUND(E362*(1+F362/30),1))</f>
        <v/>
      </c>
      <c r="H362" s="18" t="str">
        <f aca="false">IF(G362="","",IF(G362&gt;=_xlfn.MAXIFS($G$2:$G$501,$C$2:$C$501,C362),"PR",""))</f>
        <v/>
      </c>
      <c r="I362" s="6"/>
    </row>
    <row r="363" customFormat="false" ht="15" hidden="false" customHeight="false" outlineLevel="0" collapsed="false">
      <c r="A363" s="9"/>
      <c r="B363" s="6"/>
      <c r="C363" s="6"/>
      <c r="D363" s="6"/>
      <c r="E363" s="6"/>
      <c r="F363" s="6"/>
      <c r="G363" s="11" t="str">
        <f aca="false">IF(OR(E363="",F363=""),"",ROUND(E363*(1+F363/30),1))</f>
        <v/>
      </c>
      <c r="H363" s="18" t="str">
        <f aca="false">IF(G363="","",IF(G363&gt;=_xlfn.MAXIFS($G$2:$G$501,$C$2:$C$501,C363),"PR",""))</f>
        <v/>
      </c>
      <c r="I363" s="6"/>
    </row>
    <row r="364" customFormat="false" ht="15" hidden="false" customHeight="false" outlineLevel="0" collapsed="false">
      <c r="A364" s="9"/>
      <c r="B364" s="6"/>
      <c r="C364" s="6"/>
      <c r="D364" s="6"/>
      <c r="E364" s="6"/>
      <c r="F364" s="6"/>
      <c r="G364" s="11" t="str">
        <f aca="false">IF(OR(E364="",F364=""),"",ROUND(E364*(1+F364/30),1))</f>
        <v/>
      </c>
      <c r="H364" s="18" t="str">
        <f aca="false">IF(G364="","",IF(G364&gt;=_xlfn.MAXIFS($G$2:$G$501,$C$2:$C$501,C364),"PR",""))</f>
        <v/>
      </c>
      <c r="I364" s="6"/>
    </row>
    <row r="365" customFormat="false" ht="15" hidden="false" customHeight="false" outlineLevel="0" collapsed="false">
      <c r="A365" s="9"/>
      <c r="B365" s="6"/>
      <c r="C365" s="6"/>
      <c r="D365" s="6"/>
      <c r="E365" s="6"/>
      <c r="F365" s="6"/>
      <c r="G365" s="11" t="str">
        <f aca="false">IF(OR(E365="",F365=""),"",ROUND(E365*(1+F365/30),1))</f>
        <v/>
      </c>
      <c r="H365" s="18" t="str">
        <f aca="false">IF(G365="","",IF(G365&gt;=_xlfn.MAXIFS($G$2:$G$501,$C$2:$C$501,C365),"PR",""))</f>
        <v/>
      </c>
      <c r="I365" s="6"/>
    </row>
    <row r="366" customFormat="false" ht="15" hidden="false" customHeight="false" outlineLevel="0" collapsed="false">
      <c r="A366" s="9"/>
      <c r="B366" s="6"/>
      <c r="C366" s="6"/>
      <c r="D366" s="6"/>
      <c r="E366" s="6"/>
      <c r="F366" s="6"/>
      <c r="G366" s="11" t="str">
        <f aca="false">IF(OR(E366="",F366=""),"",ROUND(E366*(1+F366/30),1))</f>
        <v/>
      </c>
      <c r="H366" s="18" t="str">
        <f aca="false">IF(G366="","",IF(G366&gt;=_xlfn.MAXIFS($G$2:$G$501,$C$2:$C$501,C366),"PR",""))</f>
        <v/>
      </c>
      <c r="I366" s="6"/>
    </row>
    <row r="367" customFormat="false" ht="15" hidden="false" customHeight="false" outlineLevel="0" collapsed="false">
      <c r="A367" s="9"/>
      <c r="B367" s="6"/>
      <c r="C367" s="6"/>
      <c r="D367" s="6"/>
      <c r="E367" s="6"/>
      <c r="F367" s="6"/>
      <c r="G367" s="11" t="str">
        <f aca="false">IF(OR(E367="",F367=""),"",ROUND(E367*(1+F367/30),1))</f>
        <v/>
      </c>
      <c r="H367" s="18" t="str">
        <f aca="false">IF(G367="","",IF(G367&gt;=_xlfn.MAXIFS($G$2:$G$501,$C$2:$C$501,C367),"PR",""))</f>
        <v/>
      </c>
      <c r="I367" s="6"/>
    </row>
    <row r="368" customFormat="false" ht="15" hidden="false" customHeight="false" outlineLevel="0" collapsed="false">
      <c r="A368" s="9"/>
      <c r="B368" s="6"/>
      <c r="C368" s="6"/>
      <c r="D368" s="6"/>
      <c r="E368" s="6"/>
      <c r="F368" s="6"/>
      <c r="G368" s="11" t="str">
        <f aca="false">IF(OR(E368="",F368=""),"",ROUND(E368*(1+F368/30),1))</f>
        <v/>
      </c>
      <c r="H368" s="18" t="str">
        <f aca="false">IF(G368="","",IF(G368&gt;=_xlfn.MAXIFS($G$2:$G$501,$C$2:$C$501,C368),"PR",""))</f>
        <v/>
      </c>
      <c r="I368" s="6"/>
    </row>
    <row r="369" customFormat="false" ht="15" hidden="false" customHeight="false" outlineLevel="0" collapsed="false">
      <c r="A369" s="9"/>
      <c r="B369" s="6"/>
      <c r="C369" s="6"/>
      <c r="D369" s="6"/>
      <c r="E369" s="6"/>
      <c r="F369" s="6"/>
      <c r="G369" s="11" t="str">
        <f aca="false">IF(OR(E369="",F369=""),"",ROUND(E369*(1+F369/30),1))</f>
        <v/>
      </c>
      <c r="H369" s="18" t="str">
        <f aca="false">IF(G369="","",IF(G369&gt;=_xlfn.MAXIFS($G$2:$G$501,$C$2:$C$501,C369),"PR",""))</f>
        <v/>
      </c>
      <c r="I369" s="6"/>
    </row>
    <row r="370" customFormat="false" ht="15" hidden="false" customHeight="false" outlineLevel="0" collapsed="false">
      <c r="A370" s="9"/>
      <c r="B370" s="6"/>
      <c r="C370" s="6"/>
      <c r="D370" s="6"/>
      <c r="E370" s="6"/>
      <c r="F370" s="6"/>
      <c r="G370" s="11" t="str">
        <f aca="false">IF(OR(E370="",F370=""),"",ROUND(E370*(1+F370/30),1))</f>
        <v/>
      </c>
      <c r="H370" s="18" t="str">
        <f aca="false">IF(G370="","",IF(G370&gt;=_xlfn.MAXIFS($G$2:$G$501,$C$2:$C$501,C370),"PR",""))</f>
        <v/>
      </c>
      <c r="I370" s="6"/>
    </row>
    <row r="371" customFormat="false" ht="15" hidden="false" customHeight="false" outlineLevel="0" collapsed="false">
      <c r="A371" s="9"/>
      <c r="B371" s="6"/>
      <c r="C371" s="6"/>
      <c r="D371" s="6"/>
      <c r="E371" s="6"/>
      <c r="F371" s="6"/>
      <c r="G371" s="11" t="str">
        <f aca="false">IF(OR(E371="",F371=""),"",ROUND(E371*(1+F371/30),1))</f>
        <v/>
      </c>
      <c r="H371" s="18" t="str">
        <f aca="false">IF(G371="","",IF(G371&gt;=_xlfn.MAXIFS($G$2:$G$501,$C$2:$C$501,C371),"PR",""))</f>
        <v/>
      </c>
      <c r="I371" s="6"/>
    </row>
    <row r="372" customFormat="false" ht="15" hidden="false" customHeight="false" outlineLevel="0" collapsed="false">
      <c r="A372" s="9"/>
      <c r="B372" s="6"/>
      <c r="C372" s="6"/>
      <c r="D372" s="6"/>
      <c r="E372" s="6"/>
      <c r="F372" s="6"/>
      <c r="G372" s="11" t="str">
        <f aca="false">IF(OR(E372="",F372=""),"",ROUND(E372*(1+F372/30),1))</f>
        <v/>
      </c>
      <c r="H372" s="18" t="str">
        <f aca="false">IF(G372="","",IF(G372&gt;=_xlfn.MAXIFS($G$2:$G$501,$C$2:$C$501,C372),"PR",""))</f>
        <v/>
      </c>
      <c r="I372" s="6"/>
    </row>
    <row r="373" customFormat="false" ht="15" hidden="false" customHeight="false" outlineLevel="0" collapsed="false">
      <c r="A373" s="9"/>
      <c r="B373" s="6"/>
      <c r="C373" s="6"/>
      <c r="D373" s="6"/>
      <c r="E373" s="6"/>
      <c r="F373" s="6"/>
      <c r="G373" s="11" t="str">
        <f aca="false">IF(OR(E373="",F373=""),"",ROUND(E373*(1+F373/30),1))</f>
        <v/>
      </c>
      <c r="H373" s="18" t="str">
        <f aca="false">IF(G373="","",IF(G373&gt;=_xlfn.MAXIFS($G$2:$G$501,$C$2:$C$501,C373),"PR",""))</f>
        <v/>
      </c>
      <c r="I373" s="6"/>
    </row>
    <row r="374" customFormat="false" ht="15" hidden="false" customHeight="false" outlineLevel="0" collapsed="false">
      <c r="A374" s="9"/>
      <c r="B374" s="6"/>
      <c r="C374" s="6"/>
      <c r="D374" s="6"/>
      <c r="E374" s="6"/>
      <c r="F374" s="6"/>
      <c r="G374" s="11" t="str">
        <f aca="false">IF(OR(E374="",F374=""),"",ROUND(E374*(1+F374/30),1))</f>
        <v/>
      </c>
      <c r="H374" s="18" t="str">
        <f aca="false">IF(G374="","",IF(G374&gt;=_xlfn.MAXIFS($G$2:$G$501,$C$2:$C$501,C374),"PR",""))</f>
        <v/>
      </c>
      <c r="I374" s="6"/>
    </row>
    <row r="375" customFormat="false" ht="15" hidden="false" customHeight="false" outlineLevel="0" collapsed="false">
      <c r="A375" s="9"/>
      <c r="B375" s="6"/>
      <c r="C375" s="6"/>
      <c r="D375" s="6"/>
      <c r="E375" s="6"/>
      <c r="F375" s="6"/>
      <c r="G375" s="11" t="str">
        <f aca="false">IF(OR(E375="",F375=""),"",ROUND(E375*(1+F375/30),1))</f>
        <v/>
      </c>
      <c r="H375" s="18" t="str">
        <f aca="false">IF(G375="","",IF(G375&gt;=_xlfn.MAXIFS($G$2:$G$501,$C$2:$C$501,C375),"PR",""))</f>
        <v/>
      </c>
      <c r="I375" s="6"/>
    </row>
    <row r="376" customFormat="false" ht="15" hidden="false" customHeight="false" outlineLevel="0" collapsed="false">
      <c r="A376" s="9"/>
      <c r="B376" s="6"/>
      <c r="C376" s="6"/>
      <c r="D376" s="6"/>
      <c r="E376" s="6"/>
      <c r="F376" s="6"/>
      <c r="G376" s="11" t="str">
        <f aca="false">IF(OR(E376="",F376=""),"",ROUND(E376*(1+F376/30),1))</f>
        <v/>
      </c>
      <c r="H376" s="18" t="str">
        <f aca="false">IF(G376="","",IF(G376&gt;=_xlfn.MAXIFS($G$2:$G$501,$C$2:$C$501,C376),"PR",""))</f>
        <v/>
      </c>
      <c r="I376" s="6"/>
    </row>
    <row r="377" customFormat="false" ht="15" hidden="false" customHeight="false" outlineLevel="0" collapsed="false">
      <c r="A377" s="9"/>
      <c r="B377" s="6"/>
      <c r="C377" s="6"/>
      <c r="D377" s="6"/>
      <c r="E377" s="6"/>
      <c r="F377" s="6"/>
      <c r="G377" s="11" t="str">
        <f aca="false">IF(OR(E377="",F377=""),"",ROUND(E377*(1+F377/30),1))</f>
        <v/>
      </c>
      <c r="H377" s="18" t="str">
        <f aca="false">IF(G377="","",IF(G377&gt;=_xlfn.MAXIFS($G$2:$G$501,$C$2:$C$501,C377),"PR",""))</f>
        <v/>
      </c>
      <c r="I377" s="6"/>
    </row>
    <row r="378" customFormat="false" ht="15" hidden="false" customHeight="false" outlineLevel="0" collapsed="false">
      <c r="A378" s="9"/>
      <c r="B378" s="6"/>
      <c r="C378" s="6"/>
      <c r="D378" s="6"/>
      <c r="E378" s="6"/>
      <c r="F378" s="6"/>
      <c r="G378" s="11" t="str">
        <f aca="false">IF(OR(E378="",F378=""),"",ROUND(E378*(1+F378/30),1))</f>
        <v/>
      </c>
      <c r="H378" s="18" t="str">
        <f aca="false">IF(G378="","",IF(G378&gt;=_xlfn.MAXIFS($G$2:$G$501,$C$2:$C$501,C378),"PR",""))</f>
        <v/>
      </c>
      <c r="I378" s="6"/>
    </row>
    <row r="379" customFormat="false" ht="15" hidden="false" customHeight="false" outlineLevel="0" collapsed="false">
      <c r="A379" s="9"/>
      <c r="B379" s="6"/>
      <c r="C379" s="6"/>
      <c r="D379" s="6"/>
      <c r="E379" s="6"/>
      <c r="F379" s="6"/>
      <c r="G379" s="11" t="str">
        <f aca="false">IF(OR(E379="",F379=""),"",ROUND(E379*(1+F379/30),1))</f>
        <v/>
      </c>
      <c r="H379" s="18" t="str">
        <f aca="false">IF(G379="","",IF(G379&gt;=_xlfn.MAXIFS($G$2:$G$501,$C$2:$C$501,C379),"PR",""))</f>
        <v/>
      </c>
      <c r="I379" s="6"/>
    </row>
    <row r="380" customFormat="false" ht="15" hidden="false" customHeight="false" outlineLevel="0" collapsed="false">
      <c r="A380" s="9"/>
      <c r="B380" s="6"/>
      <c r="C380" s="6"/>
      <c r="D380" s="6"/>
      <c r="E380" s="6"/>
      <c r="F380" s="6"/>
      <c r="G380" s="11" t="str">
        <f aca="false">IF(OR(E380="",F380=""),"",ROUND(E380*(1+F380/30),1))</f>
        <v/>
      </c>
      <c r="H380" s="18" t="str">
        <f aca="false">IF(G380="","",IF(G380&gt;=_xlfn.MAXIFS($G$2:$G$501,$C$2:$C$501,C380),"PR",""))</f>
        <v/>
      </c>
      <c r="I380" s="6"/>
    </row>
    <row r="381" customFormat="false" ht="15" hidden="false" customHeight="false" outlineLevel="0" collapsed="false">
      <c r="A381" s="9"/>
      <c r="B381" s="6"/>
      <c r="C381" s="6"/>
      <c r="D381" s="6"/>
      <c r="E381" s="6"/>
      <c r="F381" s="6"/>
      <c r="G381" s="11" t="str">
        <f aca="false">IF(OR(E381="",F381=""),"",ROUND(E381*(1+F381/30),1))</f>
        <v/>
      </c>
      <c r="H381" s="18" t="str">
        <f aca="false">IF(G381="","",IF(G381&gt;=_xlfn.MAXIFS($G$2:$G$501,$C$2:$C$501,C381),"PR",""))</f>
        <v/>
      </c>
      <c r="I381" s="6"/>
    </row>
    <row r="382" customFormat="false" ht="15" hidden="false" customHeight="false" outlineLevel="0" collapsed="false">
      <c r="A382" s="9"/>
      <c r="B382" s="6"/>
      <c r="C382" s="6"/>
      <c r="D382" s="6"/>
      <c r="E382" s="6"/>
      <c r="F382" s="6"/>
      <c r="G382" s="11" t="str">
        <f aca="false">IF(OR(E382="",F382=""),"",ROUND(E382*(1+F382/30),1))</f>
        <v/>
      </c>
      <c r="H382" s="18" t="str">
        <f aca="false">IF(G382="","",IF(G382&gt;=_xlfn.MAXIFS($G$2:$G$501,$C$2:$C$501,C382),"PR",""))</f>
        <v/>
      </c>
      <c r="I382" s="6"/>
    </row>
    <row r="383" customFormat="false" ht="15" hidden="false" customHeight="false" outlineLevel="0" collapsed="false">
      <c r="A383" s="9"/>
      <c r="B383" s="6"/>
      <c r="C383" s="6"/>
      <c r="D383" s="6"/>
      <c r="E383" s="6"/>
      <c r="F383" s="6"/>
      <c r="G383" s="11" t="str">
        <f aca="false">IF(OR(E383="",F383=""),"",ROUND(E383*(1+F383/30),1))</f>
        <v/>
      </c>
      <c r="H383" s="18" t="str">
        <f aca="false">IF(G383="","",IF(G383&gt;=_xlfn.MAXIFS($G$2:$G$501,$C$2:$C$501,C383),"PR",""))</f>
        <v/>
      </c>
      <c r="I383" s="6"/>
    </row>
    <row r="384" customFormat="false" ht="15" hidden="false" customHeight="false" outlineLevel="0" collapsed="false">
      <c r="A384" s="9"/>
      <c r="B384" s="6"/>
      <c r="C384" s="6"/>
      <c r="D384" s="6"/>
      <c r="E384" s="6"/>
      <c r="F384" s="6"/>
      <c r="G384" s="11" t="str">
        <f aca="false">IF(OR(E384="",F384=""),"",ROUND(E384*(1+F384/30),1))</f>
        <v/>
      </c>
      <c r="H384" s="18" t="str">
        <f aca="false">IF(G384="","",IF(G384&gt;=_xlfn.MAXIFS($G$2:$G$501,$C$2:$C$501,C384),"PR",""))</f>
        <v/>
      </c>
      <c r="I384" s="6"/>
    </row>
    <row r="385" customFormat="false" ht="15" hidden="false" customHeight="false" outlineLevel="0" collapsed="false">
      <c r="A385" s="9"/>
      <c r="B385" s="6"/>
      <c r="C385" s="6"/>
      <c r="D385" s="6"/>
      <c r="E385" s="6"/>
      <c r="F385" s="6"/>
      <c r="G385" s="11" t="str">
        <f aca="false">IF(OR(E385="",F385=""),"",ROUND(E385*(1+F385/30),1))</f>
        <v/>
      </c>
      <c r="H385" s="18" t="str">
        <f aca="false">IF(G385="","",IF(G385&gt;=_xlfn.MAXIFS($G$2:$G$501,$C$2:$C$501,C385),"PR",""))</f>
        <v/>
      </c>
      <c r="I385" s="6"/>
    </row>
    <row r="386" customFormat="false" ht="15" hidden="false" customHeight="false" outlineLevel="0" collapsed="false">
      <c r="A386" s="9"/>
      <c r="B386" s="6"/>
      <c r="C386" s="6"/>
      <c r="D386" s="6"/>
      <c r="E386" s="6"/>
      <c r="F386" s="6"/>
      <c r="G386" s="11" t="str">
        <f aca="false">IF(OR(E386="",F386=""),"",ROUND(E386*(1+F386/30),1))</f>
        <v/>
      </c>
      <c r="H386" s="18" t="str">
        <f aca="false">IF(G386="","",IF(G386&gt;=_xlfn.MAXIFS($G$2:$G$501,$C$2:$C$501,C386),"PR",""))</f>
        <v/>
      </c>
      <c r="I386" s="6"/>
    </row>
    <row r="387" customFormat="false" ht="15" hidden="false" customHeight="false" outlineLevel="0" collapsed="false">
      <c r="A387" s="9"/>
      <c r="B387" s="6"/>
      <c r="C387" s="6"/>
      <c r="D387" s="6"/>
      <c r="E387" s="6"/>
      <c r="F387" s="6"/>
      <c r="G387" s="11" t="str">
        <f aca="false">IF(OR(E387="",F387=""),"",ROUND(E387*(1+F387/30),1))</f>
        <v/>
      </c>
      <c r="H387" s="18" t="str">
        <f aca="false">IF(G387="","",IF(G387&gt;=_xlfn.MAXIFS($G$2:$G$501,$C$2:$C$501,C387),"PR",""))</f>
        <v/>
      </c>
      <c r="I387" s="6"/>
    </row>
    <row r="388" customFormat="false" ht="15" hidden="false" customHeight="false" outlineLevel="0" collapsed="false">
      <c r="A388" s="9"/>
      <c r="B388" s="6"/>
      <c r="C388" s="6"/>
      <c r="D388" s="6"/>
      <c r="E388" s="6"/>
      <c r="F388" s="6"/>
      <c r="G388" s="11" t="str">
        <f aca="false">IF(OR(E388="",F388=""),"",ROUND(E388*(1+F388/30),1))</f>
        <v/>
      </c>
      <c r="H388" s="18" t="str">
        <f aca="false">IF(G388="","",IF(G388&gt;=_xlfn.MAXIFS($G$2:$G$501,$C$2:$C$501,C388),"PR",""))</f>
        <v/>
      </c>
      <c r="I388" s="6"/>
    </row>
    <row r="389" customFormat="false" ht="15" hidden="false" customHeight="false" outlineLevel="0" collapsed="false">
      <c r="A389" s="9"/>
      <c r="B389" s="6"/>
      <c r="C389" s="6"/>
      <c r="D389" s="6"/>
      <c r="E389" s="6"/>
      <c r="F389" s="6"/>
      <c r="G389" s="11" t="str">
        <f aca="false">IF(OR(E389="",F389=""),"",ROUND(E389*(1+F389/30),1))</f>
        <v/>
      </c>
      <c r="H389" s="18" t="str">
        <f aca="false">IF(G389="","",IF(G389&gt;=_xlfn.MAXIFS($G$2:$G$501,$C$2:$C$501,C389),"PR",""))</f>
        <v/>
      </c>
      <c r="I389" s="6"/>
    </row>
    <row r="390" customFormat="false" ht="15" hidden="false" customHeight="false" outlineLevel="0" collapsed="false">
      <c r="A390" s="9"/>
      <c r="B390" s="6"/>
      <c r="C390" s="6"/>
      <c r="D390" s="6"/>
      <c r="E390" s="6"/>
      <c r="F390" s="6"/>
      <c r="G390" s="11" t="str">
        <f aca="false">IF(OR(E390="",F390=""),"",ROUND(E390*(1+F390/30),1))</f>
        <v/>
      </c>
      <c r="H390" s="18" t="str">
        <f aca="false">IF(G390="","",IF(G390&gt;=_xlfn.MAXIFS($G$2:$G$501,$C$2:$C$501,C390),"PR",""))</f>
        <v/>
      </c>
      <c r="I390" s="6"/>
    </row>
    <row r="391" customFormat="false" ht="15" hidden="false" customHeight="false" outlineLevel="0" collapsed="false">
      <c r="A391" s="9"/>
      <c r="B391" s="6"/>
      <c r="C391" s="6"/>
      <c r="D391" s="6"/>
      <c r="E391" s="6"/>
      <c r="F391" s="6"/>
      <c r="G391" s="11" t="str">
        <f aca="false">IF(OR(E391="",F391=""),"",ROUND(E391*(1+F391/30),1))</f>
        <v/>
      </c>
      <c r="H391" s="18" t="str">
        <f aca="false">IF(G391="","",IF(G391&gt;=_xlfn.MAXIFS($G$2:$G$501,$C$2:$C$501,C391),"PR",""))</f>
        <v/>
      </c>
      <c r="I391" s="6"/>
    </row>
    <row r="392" customFormat="false" ht="15" hidden="false" customHeight="false" outlineLevel="0" collapsed="false">
      <c r="A392" s="9"/>
      <c r="B392" s="6"/>
      <c r="C392" s="6"/>
      <c r="D392" s="6"/>
      <c r="E392" s="6"/>
      <c r="F392" s="6"/>
      <c r="G392" s="11" t="str">
        <f aca="false">IF(OR(E392="",F392=""),"",ROUND(E392*(1+F392/30),1))</f>
        <v/>
      </c>
      <c r="H392" s="18" t="str">
        <f aca="false">IF(G392="","",IF(G392&gt;=_xlfn.MAXIFS($G$2:$G$501,$C$2:$C$501,C392),"PR",""))</f>
        <v/>
      </c>
      <c r="I392" s="6"/>
    </row>
    <row r="393" customFormat="false" ht="15" hidden="false" customHeight="false" outlineLevel="0" collapsed="false">
      <c r="A393" s="9"/>
      <c r="B393" s="6"/>
      <c r="C393" s="6"/>
      <c r="D393" s="6"/>
      <c r="E393" s="6"/>
      <c r="F393" s="6"/>
      <c r="G393" s="11" t="str">
        <f aca="false">IF(OR(E393="",F393=""),"",ROUND(E393*(1+F393/30),1))</f>
        <v/>
      </c>
      <c r="H393" s="18" t="str">
        <f aca="false">IF(G393="","",IF(G393&gt;=_xlfn.MAXIFS($G$2:$G$501,$C$2:$C$501,C393),"PR",""))</f>
        <v/>
      </c>
      <c r="I393" s="6"/>
    </row>
    <row r="394" customFormat="false" ht="15" hidden="false" customHeight="false" outlineLevel="0" collapsed="false">
      <c r="A394" s="9"/>
      <c r="B394" s="6"/>
      <c r="C394" s="6"/>
      <c r="D394" s="6"/>
      <c r="E394" s="6"/>
      <c r="F394" s="6"/>
      <c r="G394" s="11" t="str">
        <f aca="false">IF(OR(E394="",F394=""),"",ROUND(E394*(1+F394/30),1))</f>
        <v/>
      </c>
      <c r="H394" s="18" t="str">
        <f aca="false">IF(G394="","",IF(G394&gt;=_xlfn.MAXIFS($G$2:$G$501,$C$2:$C$501,C394),"PR",""))</f>
        <v/>
      </c>
      <c r="I394" s="6"/>
    </row>
    <row r="395" customFormat="false" ht="15" hidden="false" customHeight="false" outlineLevel="0" collapsed="false">
      <c r="A395" s="9"/>
      <c r="B395" s="6"/>
      <c r="C395" s="6"/>
      <c r="D395" s="6"/>
      <c r="E395" s="6"/>
      <c r="F395" s="6"/>
      <c r="G395" s="11" t="str">
        <f aca="false">IF(OR(E395="",F395=""),"",ROUND(E395*(1+F395/30),1))</f>
        <v/>
      </c>
      <c r="H395" s="18" t="str">
        <f aca="false">IF(G395="","",IF(G395&gt;=_xlfn.MAXIFS($G$2:$G$501,$C$2:$C$501,C395),"PR",""))</f>
        <v/>
      </c>
      <c r="I395" s="6"/>
    </row>
    <row r="396" customFormat="false" ht="15" hidden="false" customHeight="false" outlineLevel="0" collapsed="false">
      <c r="A396" s="9"/>
      <c r="B396" s="6"/>
      <c r="C396" s="6"/>
      <c r="D396" s="6"/>
      <c r="E396" s="6"/>
      <c r="F396" s="6"/>
      <c r="G396" s="11" t="str">
        <f aca="false">IF(OR(E396="",F396=""),"",ROUND(E396*(1+F396/30),1))</f>
        <v/>
      </c>
      <c r="H396" s="18" t="str">
        <f aca="false">IF(G396="","",IF(G396&gt;=_xlfn.MAXIFS($G$2:$G$501,$C$2:$C$501,C396),"PR",""))</f>
        <v/>
      </c>
      <c r="I396" s="6"/>
    </row>
    <row r="397" customFormat="false" ht="15" hidden="false" customHeight="false" outlineLevel="0" collapsed="false">
      <c r="A397" s="9"/>
      <c r="B397" s="6"/>
      <c r="C397" s="6"/>
      <c r="D397" s="6"/>
      <c r="E397" s="6"/>
      <c r="F397" s="6"/>
      <c r="G397" s="11" t="str">
        <f aca="false">IF(OR(E397="",F397=""),"",ROUND(E397*(1+F397/30),1))</f>
        <v/>
      </c>
      <c r="H397" s="18" t="str">
        <f aca="false">IF(G397="","",IF(G397&gt;=_xlfn.MAXIFS($G$2:$G$501,$C$2:$C$501,C397),"PR",""))</f>
        <v/>
      </c>
      <c r="I397" s="6"/>
    </row>
    <row r="398" customFormat="false" ht="15" hidden="false" customHeight="false" outlineLevel="0" collapsed="false">
      <c r="A398" s="9"/>
      <c r="B398" s="6"/>
      <c r="C398" s="6"/>
      <c r="D398" s="6"/>
      <c r="E398" s="6"/>
      <c r="F398" s="6"/>
      <c r="G398" s="11" t="str">
        <f aca="false">IF(OR(E398="",F398=""),"",ROUND(E398*(1+F398/30),1))</f>
        <v/>
      </c>
      <c r="H398" s="18" t="str">
        <f aca="false">IF(G398="","",IF(G398&gt;=_xlfn.MAXIFS($G$2:$G$501,$C$2:$C$501,C398),"PR",""))</f>
        <v/>
      </c>
      <c r="I398" s="6"/>
    </row>
    <row r="399" customFormat="false" ht="15" hidden="false" customHeight="false" outlineLevel="0" collapsed="false">
      <c r="A399" s="9"/>
      <c r="B399" s="6"/>
      <c r="C399" s="6"/>
      <c r="D399" s="6"/>
      <c r="E399" s="6"/>
      <c r="F399" s="6"/>
      <c r="G399" s="11" t="str">
        <f aca="false">IF(OR(E399="",F399=""),"",ROUND(E399*(1+F399/30),1))</f>
        <v/>
      </c>
      <c r="H399" s="18" t="str">
        <f aca="false">IF(G399="","",IF(G399&gt;=_xlfn.MAXIFS($G$2:$G$501,$C$2:$C$501,C399),"PR",""))</f>
        <v/>
      </c>
      <c r="I399" s="6"/>
    </row>
    <row r="400" customFormat="false" ht="15" hidden="false" customHeight="false" outlineLevel="0" collapsed="false">
      <c r="A400" s="9"/>
      <c r="B400" s="6"/>
      <c r="C400" s="6"/>
      <c r="D400" s="6"/>
      <c r="E400" s="6"/>
      <c r="F400" s="6"/>
      <c r="G400" s="11" t="str">
        <f aca="false">IF(OR(E400="",F400=""),"",ROUND(E400*(1+F400/30),1))</f>
        <v/>
      </c>
      <c r="H400" s="18" t="str">
        <f aca="false">IF(G400="","",IF(G400&gt;=_xlfn.MAXIFS($G$2:$G$501,$C$2:$C$501,C400),"PR",""))</f>
        <v/>
      </c>
      <c r="I400" s="6"/>
    </row>
    <row r="401" customFormat="false" ht="15" hidden="false" customHeight="false" outlineLevel="0" collapsed="false">
      <c r="A401" s="9"/>
      <c r="B401" s="6"/>
      <c r="C401" s="6"/>
      <c r="D401" s="6"/>
      <c r="E401" s="6"/>
      <c r="F401" s="6"/>
      <c r="G401" s="11" t="str">
        <f aca="false">IF(OR(E401="",F401=""),"",ROUND(E401*(1+F401/30),1))</f>
        <v/>
      </c>
      <c r="H401" s="18" t="str">
        <f aca="false">IF(G401="","",IF(G401&gt;=_xlfn.MAXIFS($G$2:$G$501,$C$2:$C$501,C401),"PR",""))</f>
        <v/>
      </c>
      <c r="I401" s="6"/>
    </row>
    <row r="402" customFormat="false" ht="15" hidden="false" customHeight="false" outlineLevel="0" collapsed="false">
      <c r="A402" s="9"/>
      <c r="B402" s="6"/>
      <c r="C402" s="6"/>
      <c r="D402" s="6"/>
      <c r="E402" s="6"/>
      <c r="F402" s="6"/>
      <c r="G402" s="11" t="str">
        <f aca="false">IF(OR(E402="",F402=""),"",ROUND(E402*(1+F402/30),1))</f>
        <v/>
      </c>
      <c r="H402" s="18" t="str">
        <f aca="false">IF(G402="","",IF(G402&gt;=_xlfn.MAXIFS($G$2:$G$501,$C$2:$C$501,C402),"PR",""))</f>
        <v/>
      </c>
      <c r="I402" s="6"/>
    </row>
    <row r="403" customFormat="false" ht="15" hidden="false" customHeight="false" outlineLevel="0" collapsed="false">
      <c r="A403" s="9"/>
      <c r="B403" s="6"/>
      <c r="C403" s="6"/>
      <c r="D403" s="6"/>
      <c r="E403" s="6"/>
      <c r="F403" s="6"/>
      <c r="G403" s="11" t="str">
        <f aca="false">IF(OR(E403="",F403=""),"",ROUND(E403*(1+F403/30),1))</f>
        <v/>
      </c>
      <c r="H403" s="18" t="str">
        <f aca="false">IF(G403="","",IF(G403&gt;=_xlfn.MAXIFS($G$2:$G$501,$C$2:$C$501,C403),"PR",""))</f>
        <v/>
      </c>
      <c r="I403" s="6"/>
    </row>
    <row r="404" customFormat="false" ht="15" hidden="false" customHeight="false" outlineLevel="0" collapsed="false">
      <c r="A404" s="9"/>
      <c r="B404" s="6"/>
      <c r="C404" s="6"/>
      <c r="D404" s="6"/>
      <c r="E404" s="6"/>
      <c r="F404" s="6"/>
      <c r="G404" s="11" t="str">
        <f aca="false">IF(OR(E404="",F404=""),"",ROUND(E404*(1+F404/30),1))</f>
        <v/>
      </c>
      <c r="H404" s="18" t="str">
        <f aca="false">IF(G404="","",IF(G404&gt;=_xlfn.MAXIFS($G$2:$G$501,$C$2:$C$501,C404),"PR",""))</f>
        <v/>
      </c>
      <c r="I404" s="6"/>
    </row>
    <row r="405" customFormat="false" ht="15" hidden="false" customHeight="false" outlineLevel="0" collapsed="false">
      <c r="A405" s="9"/>
      <c r="B405" s="6"/>
      <c r="C405" s="6"/>
      <c r="D405" s="6"/>
      <c r="E405" s="6"/>
      <c r="F405" s="6"/>
      <c r="G405" s="11" t="str">
        <f aca="false">IF(OR(E405="",F405=""),"",ROUND(E405*(1+F405/30),1))</f>
        <v/>
      </c>
      <c r="H405" s="18" t="str">
        <f aca="false">IF(G405="","",IF(G405&gt;=_xlfn.MAXIFS($G$2:$G$501,$C$2:$C$501,C405),"PR",""))</f>
        <v/>
      </c>
      <c r="I405" s="6"/>
    </row>
    <row r="406" customFormat="false" ht="15" hidden="false" customHeight="false" outlineLevel="0" collapsed="false">
      <c r="A406" s="9"/>
      <c r="B406" s="6"/>
      <c r="C406" s="6"/>
      <c r="D406" s="6"/>
      <c r="E406" s="6"/>
      <c r="F406" s="6"/>
      <c r="G406" s="11" t="str">
        <f aca="false">IF(OR(E406="",F406=""),"",ROUND(E406*(1+F406/30),1))</f>
        <v/>
      </c>
      <c r="H406" s="18" t="str">
        <f aca="false">IF(G406="","",IF(G406&gt;=_xlfn.MAXIFS($G$2:$G$501,$C$2:$C$501,C406),"PR",""))</f>
        <v/>
      </c>
      <c r="I406" s="6"/>
    </row>
    <row r="407" customFormat="false" ht="15" hidden="false" customHeight="false" outlineLevel="0" collapsed="false">
      <c r="A407" s="9"/>
      <c r="B407" s="6"/>
      <c r="C407" s="6"/>
      <c r="D407" s="6"/>
      <c r="E407" s="6"/>
      <c r="F407" s="6"/>
      <c r="G407" s="11" t="str">
        <f aca="false">IF(OR(E407="",F407=""),"",ROUND(E407*(1+F407/30),1))</f>
        <v/>
      </c>
      <c r="H407" s="18" t="str">
        <f aca="false">IF(G407="","",IF(G407&gt;=_xlfn.MAXIFS($G$2:$G$501,$C$2:$C$501,C407),"PR",""))</f>
        <v/>
      </c>
      <c r="I407" s="6"/>
    </row>
    <row r="408" customFormat="false" ht="15" hidden="false" customHeight="false" outlineLevel="0" collapsed="false">
      <c r="A408" s="9"/>
      <c r="B408" s="6"/>
      <c r="C408" s="6"/>
      <c r="D408" s="6"/>
      <c r="E408" s="6"/>
      <c r="F408" s="6"/>
      <c r="G408" s="11" t="str">
        <f aca="false">IF(OR(E408="",F408=""),"",ROUND(E408*(1+F408/30),1))</f>
        <v/>
      </c>
      <c r="H408" s="18" t="str">
        <f aca="false">IF(G408="","",IF(G408&gt;=_xlfn.MAXIFS($G$2:$G$501,$C$2:$C$501,C408),"PR",""))</f>
        <v/>
      </c>
      <c r="I408" s="6"/>
    </row>
    <row r="409" customFormat="false" ht="15" hidden="false" customHeight="false" outlineLevel="0" collapsed="false">
      <c r="A409" s="9"/>
      <c r="B409" s="6"/>
      <c r="C409" s="6"/>
      <c r="D409" s="6"/>
      <c r="E409" s="6"/>
      <c r="F409" s="6"/>
      <c r="G409" s="11" t="str">
        <f aca="false">IF(OR(E409="",F409=""),"",ROUND(E409*(1+F409/30),1))</f>
        <v/>
      </c>
      <c r="H409" s="18" t="str">
        <f aca="false">IF(G409="","",IF(G409&gt;=_xlfn.MAXIFS($G$2:$G$501,$C$2:$C$501,C409),"PR",""))</f>
        <v/>
      </c>
      <c r="I409" s="6"/>
    </row>
    <row r="410" customFormat="false" ht="15" hidden="false" customHeight="false" outlineLevel="0" collapsed="false">
      <c r="A410" s="9"/>
      <c r="B410" s="6"/>
      <c r="C410" s="6"/>
      <c r="D410" s="6"/>
      <c r="E410" s="6"/>
      <c r="F410" s="6"/>
      <c r="G410" s="11" t="str">
        <f aca="false">IF(OR(E410="",F410=""),"",ROUND(E410*(1+F410/30),1))</f>
        <v/>
      </c>
      <c r="H410" s="18" t="str">
        <f aca="false">IF(G410="","",IF(G410&gt;=_xlfn.MAXIFS($G$2:$G$501,$C$2:$C$501,C410),"PR",""))</f>
        <v/>
      </c>
      <c r="I410" s="6"/>
    </row>
    <row r="411" customFormat="false" ht="15" hidden="false" customHeight="false" outlineLevel="0" collapsed="false">
      <c r="A411" s="9"/>
      <c r="B411" s="6"/>
      <c r="C411" s="6"/>
      <c r="D411" s="6"/>
      <c r="E411" s="6"/>
      <c r="F411" s="6"/>
      <c r="G411" s="11" t="str">
        <f aca="false">IF(OR(E411="",F411=""),"",ROUND(E411*(1+F411/30),1))</f>
        <v/>
      </c>
      <c r="H411" s="18" t="str">
        <f aca="false">IF(G411="","",IF(G411&gt;=_xlfn.MAXIFS($G$2:$G$501,$C$2:$C$501,C411),"PR",""))</f>
        <v/>
      </c>
      <c r="I411" s="6"/>
    </row>
    <row r="412" customFormat="false" ht="15" hidden="false" customHeight="false" outlineLevel="0" collapsed="false">
      <c r="A412" s="9"/>
      <c r="B412" s="6"/>
      <c r="C412" s="6"/>
      <c r="D412" s="6"/>
      <c r="E412" s="6"/>
      <c r="F412" s="6"/>
      <c r="G412" s="11" t="str">
        <f aca="false">IF(OR(E412="",F412=""),"",ROUND(E412*(1+F412/30),1))</f>
        <v/>
      </c>
      <c r="H412" s="18" t="str">
        <f aca="false">IF(G412="","",IF(G412&gt;=_xlfn.MAXIFS($G$2:$G$501,$C$2:$C$501,C412),"PR",""))</f>
        <v/>
      </c>
      <c r="I412" s="6"/>
    </row>
    <row r="413" customFormat="false" ht="15" hidden="false" customHeight="false" outlineLevel="0" collapsed="false">
      <c r="A413" s="9"/>
      <c r="B413" s="6"/>
      <c r="C413" s="6"/>
      <c r="D413" s="6"/>
      <c r="E413" s="6"/>
      <c r="F413" s="6"/>
      <c r="G413" s="11" t="str">
        <f aca="false">IF(OR(E413="",F413=""),"",ROUND(E413*(1+F413/30),1))</f>
        <v/>
      </c>
      <c r="H413" s="18" t="str">
        <f aca="false">IF(G413="","",IF(G413&gt;=_xlfn.MAXIFS($G$2:$G$501,$C$2:$C$501,C413),"PR",""))</f>
        <v/>
      </c>
      <c r="I413" s="6"/>
    </row>
    <row r="414" customFormat="false" ht="15" hidden="false" customHeight="false" outlineLevel="0" collapsed="false">
      <c r="A414" s="9"/>
      <c r="B414" s="6"/>
      <c r="C414" s="6"/>
      <c r="D414" s="6"/>
      <c r="E414" s="6"/>
      <c r="F414" s="6"/>
      <c r="G414" s="11" t="str">
        <f aca="false">IF(OR(E414="",F414=""),"",ROUND(E414*(1+F414/30),1))</f>
        <v/>
      </c>
      <c r="H414" s="18" t="str">
        <f aca="false">IF(G414="","",IF(G414&gt;=_xlfn.MAXIFS($G$2:$G$501,$C$2:$C$501,C414),"PR",""))</f>
        <v/>
      </c>
      <c r="I414" s="6"/>
    </row>
    <row r="415" customFormat="false" ht="15" hidden="false" customHeight="false" outlineLevel="0" collapsed="false">
      <c r="A415" s="9"/>
      <c r="B415" s="6"/>
      <c r="C415" s="6"/>
      <c r="D415" s="6"/>
      <c r="E415" s="6"/>
      <c r="F415" s="6"/>
      <c r="G415" s="11" t="str">
        <f aca="false">IF(OR(E415="",F415=""),"",ROUND(E415*(1+F415/30),1))</f>
        <v/>
      </c>
      <c r="H415" s="18" t="str">
        <f aca="false">IF(G415="","",IF(G415&gt;=_xlfn.MAXIFS($G$2:$G$501,$C$2:$C$501,C415),"PR",""))</f>
        <v/>
      </c>
      <c r="I415" s="6"/>
    </row>
    <row r="416" customFormat="false" ht="15" hidden="false" customHeight="false" outlineLevel="0" collapsed="false">
      <c r="A416" s="9"/>
      <c r="B416" s="6"/>
      <c r="C416" s="6"/>
      <c r="D416" s="6"/>
      <c r="E416" s="6"/>
      <c r="F416" s="6"/>
      <c r="G416" s="11" t="str">
        <f aca="false">IF(OR(E416="",F416=""),"",ROUND(E416*(1+F416/30),1))</f>
        <v/>
      </c>
      <c r="H416" s="18" t="str">
        <f aca="false">IF(G416="","",IF(G416&gt;=_xlfn.MAXIFS($G$2:$G$501,$C$2:$C$501,C416),"PR",""))</f>
        <v/>
      </c>
      <c r="I416" s="6"/>
    </row>
    <row r="417" customFormat="false" ht="15" hidden="false" customHeight="false" outlineLevel="0" collapsed="false">
      <c r="A417" s="9"/>
      <c r="B417" s="6"/>
      <c r="C417" s="6"/>
      <c r="D417" s="6"/>
      <c r="E417" s="6"/>
      <c r="F417" s="6"/>
      <c r="G417" s="11" t="str">
        <f aca="false">IF(OR(E417="",F417=""),"",ROUND(E417*(1+F417/30),1))</f>
        <v/>
      </c>
      <c r="H417" s="18" t="str">
        <f aca="false">IF(G417="","",IF(G417&gt;=_xlfn.MAXIFS($G$2:$G$501,$C$2:$C$501,C417),"PR",""))</f>
        <v/>
      </c>
      <c r="I417" s="6"/>
    </row>
    <row r="418" customFormat="false" ht="15" hidden="false" customHeight="false" outlineLevel="0" collapsed="false">
      <c r="A418" s="9"/>
      <c r="B418" s="6"/>
      <c r="C418" s="6"/>
      <c r="D418" s="6"/>
      <c r="E418" s="6"/>
      <c r="F418" s="6"/>
      <c r="G418" s="11" t="str">
        <f aca="false">IF(OR(E418="",F418=""),"",ROUND(E418*(1+F418/30),1))</f>
        <v/>
      </c>
      <c r="H418" s="18" t="str">
        <f aca="false">IF(G418="","",IF(G418&gt;=_xlfn.MAXIFS($G$2:$G$501,$C$2:$C$501,C418),"PR",""))</f>
        <v/>
      </c>
      <c r="I418" s="6"/>
    </row>
    <row r="419" customFormat="false" ht="15" hidden="false" customHeight="false" outlineLevel="0" collapsed="false">
      <c r="A419" s="9"/>
      <c r="B419" s="6"/>
      <c r="C419" s="6"/>
      <c r="D419" s="6"/>
      <c r="E419" s="6"/>
      <c r="F419" s="6"/>
      <c r="G419" s="11" t="str">
        <f aca="false">IF(OR(E419="",F419=""),"",ROUND(E419*(1+F419/30),1))</f>
        <v/>
      </c>
      <c r="H419" s="18" t="str">
        <f aca="false">IF(G419="","",IF(G419&gt;=_xlfn.MAXIFS($G$2:$G$501,$C$2:$C$501,C419),"PR",""))</f>
        <v/>
      </c>
      <c r="I419" s="6"/>
    </row>
    <row r="420" customFormat="false" ht="15" hidden="false" customHeight="false" outlineLevel="0" collapsed="false">
      <c r="A420" s="9"/>
      <c r="B420" s="6"/>
      <c r="C420" s="6"/>
      <c r="D420" s="6"/>
      <c r="E420" s="6"/>
      <c r="F420" s="6"/>
      <c r="G420" s="11" t="str">
        <f aca="false">IF(OR(E420="",F420=""),"",ROUND(E420*(1+F420/30),1))</f>
        <v/>
      </c>
      <c r="H420" s="18" t="str">
        <f aca="false">IF(G420="","",IF(G420&gt;=_xlfn.MAXIFS($G$2:$G$501,$C$2:$C$501,C420),"PR",""))</f>
        <v/>
      </c>
      <c r="I420" s="6"/>
    </row>
    <row r="421" customFormat="false" ht="15" hidden="false" customHeight="false" outlineLevel="0" collapsed="false">
      <c r="A421" s="9"/>
      <c r="B421" s="6"/>
      <c r="C421" s="6"/>
      <c r="D421" s="6"/>
      <c r="E421" s="6"/>
      <c r="F421" s="6"/>
      <c r="G421" s="11" t="str">
        <f aca="false">IF(OR(E421="",F421=""),"",ROUND(E421*(1+F421/30),1))</f>
        <v/>
      </c>
      <c r="H421" s="18" t="str">
        <f aca="false">IF(G421="","",IF(G421&gt;=_xlfn.MAXIFS($G$2:$G$501,$C$2:$C$501,C421),"PR",""))</f>
        <v/>
      </c>
      <c r="I421" s="6"/>
    </row>
    <row r="422" customFormat="false" ht="15" hidden="false" customHeight="false" outlineLevel="0" collapsed="false">
      <c r="A422" s="9"/>
      <c r="B422" s="6"/>
      <c r="C422" s="6"/>
      <c r="D422" s="6"/>
      <c r="E422" s="6"/>
      <c r="F422" s="6"/>
      <c r="G422" s="11" t="str">
        <f aca="false">IF(OR(E422="",F422=""),"",ROUND(E422*(1+F422/30),1))</f>
        <v/>
      </c>
      <c r="H422" s="18" t="str">
        <f aca="false">IF(G422="","",IF(G422&gt;=_xlfn.MAXIFS($G$2:$G$501,$C$2:$C$501,C422),"PR",""))</f>
        <v/>
      </c>
      <c r="I422" s="6"/>
    </row>
    <row r="423" customFormat="false" ht="15" hidden="false" customHeight="false" outlineLevel="0" collapsed="false">
      <c r="A423" s="9"/>
      <c r="B423" s="6"/>
      <c r="C423" s="6"/>
      <c r="D423" s="6"/>
      <c r="E423" s="6"/>
      <c r="F423" s="6"/>
      <c r="G423" s="11" t="str">
        <f aca="false">IF(OR(E423="",F423=""),"",ROUND(E423*(1+F423/30),1))</f>
        <v/>
      </c>
      <c r="H423" s="18" t="str">
        <f aca="false">IF(G423="","",IF(G423&gt;=_xlfn.MAXIFS($G$2:$G$501,$C$2:$C$501,C423),"PR",""))</f>
        <v/>
      </c>
      <c r="I423" s="6"/>
    </row>
    <row r="424" customFormat="false" ht="15" hidden="false" customHeight="false" outlineLevel="0" collapsed="false">
      <c r="A424" s="9"/>
      <c r="B424" s="6"/>
      <c r="C424" s="6"/>
      <c r="D424" s="6"/>
      <c r="E424" s="6"/>
      <c r="F424" s="6"/>
      <c r="G424" s="11" t="str">
        <f aca="false">IF(OR(E424="",F424=""),"",ROUND(E424*(1+F424/30),1))</f>
        <v/>
      </c>
      <c r="H424" s="18" t="str">
        <f aca="false">IF(G424="","",IF(G424&gt;=_xlfn.MAXIFS($G$2:$G$501,$C$2:$C$501,C424),"PR",""))</f>
        <v/>
      </c>
      <c r="I424" s="6"/>
    </row>
    <row r="425" customFormat="false" ht="15" hidden="false" customHeight="false" outlineLevel="0" collapsed="false">
      <c r="A425" s="9"/>
      <c r="B425" s="6"/>
      <c r="C425" s="6"/>
      <c r="D425" s="6"/>
      <c r="E425" s="6"/>
      <c r="F425" s="6"/>
      <c r="G425" s="11" t="str">
        <f aca="false">IF(OR(E425="",F425=""),"",ROUND(E425*(1+F425/30),1))</f>
        <v/>
      </c>
      <c r="H425" s="18" t="str">
        <f aca="false">IF(G425="","",IF(G425&gt;=_xlfn.MAXIFS($G$2:$G$501,$C$2:$C$501,C425),"PR",""))</f>
        <v/>
      </c>
      <c r="I425" s="6"/>
    </row>
    <row r="426" customFormat="false" ht="15" hidden="false" customHeight="false" outlineLevel="0" collapsed="false">
      <c r="A426" s="9"/>
      <c r="B426" s="6"/>
      <c r="C426" s="6"/>
      <c r="D426" s="6"/>
      <c r="E426" s="6"/>
      <c r="F426" s="6"/>
      <c r="G426" s="11" t="str">
        <f aca="false">IF(OR(E426="",F426=""),"",ROUND(E426*(1+F426/30),1))</f>
        <v/>
      </c>
      <c r="H426" s="18" t="str">
        <f aca="false">IF(G426="","",IF(G426&gt;=_xlfn.MAXIFS($G$2:$G$501,$C$2:$C$501,C426),"PR",""))</f>
        <v/>
      </c>
      <c r="I426" s="6"/>
    </row>
    <row r="427" customFormat="false" ht="15" hidden="false" customHeight="false" outlineLevel="0" collapsed="false">
      <c r="A427" s="9"/>
      <c r="B427" s="6"/>
      <c r="C427" s="6"/>
      <c r="D427" s="6"/>
      <c r="E427" s="6"/>
      <c r="F427" s="6"/>
      <c r="G427" s="11" t="str">
        <f aca="false">IF(OR(E427="",F427=""),"",ROUND(E427*(1+F427/30),1))</f>
        <v/>
      </c>
      <c r="H427" s="18" t="str">
        <f aca="false">IF(G427="","",IF(G427&gt;=_xlfn.MAXIFS($G$2:$G$501,$C$2:$C$501,C427),"PR",""))</f>
        <v/>
      </c>
      <c r="I427" s="6"/>
    </row>
    <row r="428" customFormat="false" ht="15" hidden="false" customHeight="false" outlineLevel="0" collapsed="false">
      <c r="A428" s="9"/>
      <c r="B428" s="6"/>
      <c r="C428" s="6"/>
      <c r="D428" s="6"/>
      <c r="E428" s="6"/>
      <c r="F428" s="6"/>
      <c r="G428" s="11" t="str">
        <f aca="false">IF(OR(E428="",F428=""),"",ROUND(E428*(1+F428/30),1))</f>
        <v/>
      </c>
      <c r="H428" s="18" t="str">
        <f aca="false">IF(G428="","",IF(G428&gt;=_xlfn.MAXIFS($G$2:$G$501,$C$2:$C$501,C428),"PR",""))</f>
        <v/>
      </c>
      <c r="I428" s="6"/>
    </row>
    <row r="429" customFormat="false" ht="15" hidden="false" customHeight="false" outlineLevel="0" collapsed="false">
      <c r="A429" s="9"/>
      <c r="B429" s="6"/>
      <c r="C429" s="6"/>
      <c r="D429" s="6"/>
      <c r="E429" s="6"/>
      <c r="F429" s="6"/>
      <c r="G429" s="11" t="str">
        <f aca="false">IF(OR(E429="",F429=""),"",ROUND(E429*(1+F429/30),1))</f>
        <v/>
      </c>
      <c r="H429" s="18" t="str">
        <f aca="false">IF(G429="","",IF(G429&gt;=_xlfn.MAXIFS($G$2:$G$501,$C$2:$C$501,C429),"PR",""))</f>
        <v/>
      </c>
      <c r="I429" s="6"/>
    </row>
    <row r="430" customFormat="false" ht="15" hidden="false" customHeight="false" outlineLevel="0" collapsed="false">
      <c r="A430" s="9"/>
      <c r="B430" s="6"/>
      <c r="C430" s="6"/>
      <c r="D430" s="6"/>
      <c r="E430" s="6"/>
      <c r="F430" s="6"/>
      <c r="G430" s="11" t="str">
        <f aca="false">IF(OR(E430="",F430=""),"",ROUND(E430*(1+F430/30),1))</f>
        <v/>
      </c>
      <c r="H430" s="18" t="str">
        <f aca="false">IF(G430="","",IF(G430&gt;=_xlfn.MAXIFS($G$2:$G$501,$C$2:$C$501,C430),"PR",""))</f>
        <v/>
      </c>
      <c r="I430" s="6"/>
    </row>
    <row r="431" customFormat="false" ht="15" hidden="false" customHeight="false" outlineLevel="0" collapsed="false">
      <c r="A431" s="9"/>
      <c r="B431" s="6"/>
      <c r="C431" s="6"/>
      <c r="D431" s="6"/>
      <c r="E431" s="6"/>
      <c r="F431" s="6"/>
      <c r="G431" s="11" t="str">
        <f aca="false">IF(OR(E431="",F431=""),"",ROUND(E431*(1+F431/30),1))</f>
        <v/>
      </c>
      <c r="H431" s="18" t="str">
        <f aca="false">IF(G431="","",IF(G431&gt;=_xlfn.MAXIFS($G$2:$G$501,$C$2:$C$501,C431),"PR",""))</f>
        <v/>
      </c>
      <c r="I431" s="6"/>
    </row>
    <row r="432" customFormat="false" ht="15" hidden="false" customHeight="false" outlineLevel="0" collapsed="false">
      <c r="A432" s="9"/>
      <c r="B432" s="6"/>
      <c r="C432" s="6"/>
      <c r="D432" s="6"/>
      <c r="E432" s="6"/>
      <c r="F432" s="6"/>
      <c r="G432" s="11" t="str">
        <f aca="false">IF(OR(E432="",F432=""),"",ROUND(E432*(1+F432/30),1))</f>
        <v/>
      </c>
      <c r="H432" s="18" t="str">
        <f aca="false">IF(G432="","",IF(G432&gt;=_xlfn.MAXIFS($G$2:$G$501,$C$2:$C$501,C432),"PR",""))</f>
        <v/>
      </c>
      <c r="I432" s="6"/>
    </row>
    <row r="433" customFormat="false" ht="15" hidden="false" customHeight="false" outlineLevel="0" collapsed="false">
      <c r="A433" s="9"/>
      <c r="B433" s="6"/>
      <c r="C433" s="6"/>
      <c r="D433" s="6"/>
      <c r="E433" s="6"/>
      <c r="F433" s="6"/>
      <c r="G433" s="11" t="str">
        <f aca="false">IF(OR(E433="",F433=""),"",ROUND(E433*(1+F433/30),1))</f>
        <v/>
      </c>
      <c r="H433" s="18" t="str">
        <f aca="false">IF(G433="","",IF(G433&gt;=_xlfn.MAXIFS($G$2:$G$501,$C$2:$C$501,C433),"PR",""))</f>
        <v/>
      </c>
      <c r="I433" s="6"/>
    </row>
    <row r="434" customFormat="false" ht="15" hidden="false" customHeight="false" outlineLevel="0" collapsed="false">
      <c r="A434" s="9"/>
      <c r="B434" s="6"/>
      <c r="C434" s="6"/>
      <c r="D434" s="6"/>
      <c r="E434" s="6"/>
      <c r="F434" s="6"/>
      <c r="G434" s="11" t="str">
        <f aca="false">IF(OR(E434="",F434=""),"",ROUND(E434*(1+F434/30),1))</f>
        <v/>
      </c>
      <c r="H434" s="18" t="str">
        <f aca="false">IF(G434="","",IF(G434&gt;=_xlfn.MAXIFS($G$2:$G$501,$C$2:$C$501,C434),"PR",""))</f>
        <v/>
      </c>
      <c r="I434" s="6"/>
    </row>
    <row r="435" customFormat="false" ht="15" hidden="false" customHeight="false" outlineLevel="0" collapsed="false">
      <c r="A435" s="9"/>
      <c r="B435" s="6"/>
      <c r="C435" s="6"/>
      <c r="D435" s="6"/>
      <c r="E435" s="6"/>
      <c r="F435" s="6"/>
      <c r="G435" s="11" t="str">
        <f aca="false">IF(OR(E435="",F435=""),"",ROUND(E435*(1+F435/30),1))</f>
        <v/>
      </c>
      <c r="H435" s="18" t="str">
        <f aca="false">IF(G435="","",IF(G435&gt;=_xlfn.MAXIFS($G$2:$G$501,$C$2:$C$501,C435),"PR",""))</f>
        <v/>
      </c>
      <c r="I435" s="6"/>
    </row>
    <row r="436" customFormat="false" ht="15" hidden="false" customHeight="false" outlineLevel="0" collapsed="false">
      <c r="A436" s="9"/>
      <c r="B436" s="6"/>
      <c r="C436" s="6"/>
      <c r="D436" s="6"/>
      <c r="E436" s="6"/>
      <c r="F436" s="6"/>
      <c r="G436" s="11" t="str">
        <f aca="false">IF(OR(E436="",F436=""),"",ROUND(E436*(1+F436/30),1))</f>
        <v/>
      </c>
      <c r="H436" s="18" t="str">
        <f aca="false">IF(G436="","",IF(G436&gt;=_xlfn.MAXIFS($G$2:$G$501,$C$2:$C$501,C436),"PR",""))</f>
        <v/>
      </c>
      <c r="I436" s="6"/>
    </row>
    <row r="437" customFormat="false" ht="15" hidden="false" customHeight="false" outlineLevel="0" collapsed="false">
      <c r="A437" s="9"/>
      <c r="B437" s="6"/>
      <c r="C437" s="6"/>
      <c r="D437" s="6"/>
      <c r="E437" s="6"/>
      <c r="F437" s="6"/>
      <c r="G437" s="11" t="str">
        <f aca="false">IF(OR(E437="",F437=""),"",ROUND(E437*(1+F437/30),1))</f>
        <v/>
      </c>
      <c r="H437" s="18" t="str">
        <f aca="false">IF(G437="","",IF(G437&gt;=_xlfn.MAXIFS($G$2:$G$501,$C$2:$C$501,C437),"PR",""))</f>
        <v/>
      </c>
      <c r="I437" s="6"/>
    </row>
    <row r="438" customFormat="false" ht="15" hidden="false" customHeight="false" outlineLevel="0" collapsed="false">
      <c r="A438" s="9"/>
      <c r="B438" s="6"/>
      <c r="C438" s="6"/>
      <c r="D438" s="6"/>
      <c r="E438" s="6"/>
      <c r="F438" s="6"/>
      <c r="G438" s="11" t="str">
        <f aca="false">IF(OR(E438="",F438=""),"",ROUND(E438*(1+F438/30),1))</f>
        <v/>
      </c>
      <c r="H438" s="18" t="str">
        <f aca="false">IF(G438="","",IF(G438&gt;=_xlfn.MAXIFS($G$2:$G$501,$C$2:$C$501,C438),"PR",""))</f>
        <v/>
      </c>
      <c r="I438" s="6"/>
    </row>
    <row r="439" customFormat="false" ht="15" hidden="false" customHeight="false" outlineLevel="0" collapsed="false">
      <c r="A439" s="9"/>
      <c r="B439" s="6"/>
      <c r="C439" s="6"/>
      <c r="D439" s="6"/>
      <c r="E439" s="6"/>
      <c r="F439" s="6"/>
      <c r="G439" s="11" t="str">
        <f aca="false">IF(OR(E439="",F439=""),"",ROUND(E439*(1+F439/30),1))</f>
        <v/>
      </c>
      <c r="H439" s="18" t="str">
        <f aca="false">IF(G439="","",IF(G439&gt;=_xlfn.MAXIFS($G$2:$G$501,$C$2:$C$501,C439),"PR",""))</f>
        <v/>
      </c>
      <c r="I439" s="6"/>
    </row>
    <row r="440" customFormat="false" ht="15" hidden="false" customHeight="false" outlineLevel="0" collapsed="false">
      <c r="A440" s="9"/>
      <c r="B440" s="6"/>
      <c r="C440" s="6"/>
      <c r="D440" s="6"/>
      <c r="E440" s="6"/>
      <c r="F440" s="6"/>
      <c r="G440" s="11" t="str">
        <f aca="false">IF(OR(E440="",F440=""),"",ROUND(E440*(1+F440/30),1))</f>
        <v/>
      </c>
      <c r="H440" s="18" t="str">
        <f aca="false">IF(G440="","",IF(G440&gt;=_xlfn.MAXIFS($G$2:$G$501,$C$2:$C$501,C440),"PR",""))</f>
        <v/>
      </c>
      <c r="I440" s="6"/>
    </row>
    <row r="441" customFormat="false" ht="15" hidden="false" customHeight="false" outlineLevel="0" collapsed="false">
      <c r="A441" s="9"/>
      <c r="B441" s="6"/>
      <c r="C441" s="6"/>
      <c r="D441" s="6"/>
      <c r="E441" s="6"/>
      <c r="F441" s="6"/>
      <c r="G441" s="11" t="str">
        <f aca="false">IF(OR(E441="",F441=""),"",ROUND(E441*(1+F441/30),1))</f>
        <v/>
      </c>
      <c r="H441" s="18" t="str">
        <f aca="false">IF(G441="","",IF(G441&gt;=_xlfn.MAXIFS($G$2:$G$501,$C$2:$C$501,C441),"PR",""))</f>
        <v/>
      </c>
      <c r="I441" s="6"/>
    </row>
    <row r="442" customFormat="false" ht="15" hidden="false" customHeight="false" outlineLevel="0" collapsed="false">
      <c r="A442" s="9"/>
      <c r="B442" s="6"/>
      <c r="C442" s="6"/>
      <c r="D442" s="6"/>
      <c r="E442" s="6"/>
      <c r="F442" s="6"/>
      <c r="G442" s="11" t="str">
        <f aca="false">IF(OR(E442="",F442=""),"",ROUND(E442*(1+F442/30),1))</f>
        <v/>
      </c>
      <c r="H442" s="18" t="str">
        <f aca="false">IF(G442="","",IF(G442&gt;=_xlfn.MAXIFS($G$2:$G$501,$C$2:$C$501,C442),"PR",""))</f>
        <v/>
      </c>
      <c r="I442" s="6"/>
    </row>
    <row r="443" customFormat="false" ht="15" hidden="false" customHeight="false" outlineLevel="0" collapsed="false">
      <c r="A443" s="9"/>
      <c r="B443" s="6"/>
      <c r="C443" s="6"/>
      <c r="D443" s="6"/>
      <c r="E443" s="6"/>
      <c r="F443" s="6"/>
      <c r="G443" s="11" t="str">
        <f aca="false">IF(OR(E443="",F443=""),"",ROUND(E443*(1+F443/30),1))</f>
        <v/>
      </c>
      <c r="H443" s="18" t="str">
        <f aca="false">IF(G443="","",IF(G443&gt;=_xlfn.MAXIFS($G$2:$G$501,$C$2:$C$501,C443),"PR",""))</f>
        <v/>
      </c>
      <c r="I443" s="6"/>
    </row>
    <row r="444" customFormat="false" ht="15" hidden="false" customHeight="false" outlineLevel="0" collapsed="false">
      <c r="A444" s="9"/>
      <c r="B444" s="6"/>
      <c r="C444" s="6"/>
      <c r="D444" s="6"/>
      <c r="E444" s="6"/>
      <c r="F444" s="6"/>
      <c r="G444" s="11" t="str">
        <f aca="false">IF(OR(E444="",F444=""),"",ROUND(E444*(1+F444/30),1))</f>
        <v/>
      </c>
      <c r="H444" s="18" t="str">
        <f aca="false">IF(G444="","",IF(G444&gt;=_xlfn.MAXIFS($G$2:$G$501,$C$2:$C$501,C444),"PR",""))</f>
        <v/>
      </c>
      <c r="I444" s="6"/>
    </row>
    <row r="445" customFormat="false" ht="15" hidden="false" customHeight="false" outlineLevel="0" collapsed="false">
      <c r="A445" s="9"/>
      <c r="B445" s="6"/>
      <c r="C445" s="6"/>
      <c r="D445" s="6"/>
      <c r="E445" s="6"/>
      <c r="F445" s="6"/>
      <c r="G445" s="11" t="str">
        <f aca="false">IF(OR(E445="",F445=""),"",ROUND(E445*(1+F445/30),1))</f>
        <v/>
      </c>
      <c r="H445" s="18" t="str">
        <f aca="false">IF(G445="","",IF(G445&gt;=_xlfn.MAXIFS($G$2:$G$501,$C$2:$C$501,C445),"PR",""))</f>
        <v/>
      </c>
      <c r="I445" s="6"/>
    </row>
    <row r="446" customFormat="false" ht="15" hidden="false" customHeight="false" outlineLevel="0" collapsed="false">
      <c r="A446" s="9"/>
      <c r="B446" s="6"/>
      <c r="C446" s="6"/>
      <c r="D446" s="6"/>
      <c r="E446" s="6"/>
      <c r="F446" s="6"/>
      <c r="G446" s="11" t="str">
        <f aca="false">IF(OR(E446="",F446=""),"",ROUND(E446*(1+F446/30),1))</f>
        <v/>
      </c>
      <c r="H446" s="18" t="str">
        <f aca="false">IF(G446="","",IF(G446&gt;=_xlfn.MAXIFS($G$2:$G$501,$C$2:$C$501,C446),"PR",""))</f>
        <v/>
      </c>
      <c r="I446" s="6"/>
    </row>
    <row r="447" customFormat="false" ht="15" hidden="false" customHeight="false" outlineLevel="0" collapsed="false">
      <c r="A447" s="9"/>
      <c r="B447" s="6"/>
      <c r="C447" s="6"/>
      <c r="D447" s="6"/>
      <c r="E447" s="6"/>
      <c r="F447" s="6"/>
      <c r="G447" s="11" t="str">
        <f aca="false">IF(OR(E447="",F447=""),"",ROUND(E447*(1+F447/30),1))</f>
        <v/>
      </c>
      <c r="H447" s="18" t="str">
        <f aca="false">IF(G447="","",IF(G447&gt;=_xlfn.MAXIFS($G$2:$G$501,$C$2:$C$501,C447),"PR",""))</f>
        <v/>
      </c>
      <c r="I447" s="6"/>
    </row>
    <row r="448" customFormat="false" ht="15" hidden="false" customHeight="false" outlineLevel="0" collapsed="false">
      <c r="A448" s="9"/>
      <c r="B448" s="6"/>
      <c r="C448" s="6"/>
      <c r="D448" s="6"/>
      <c r="E448" s="6"/>
      <c r="F448" s="6"/>
      <c r="G448" s="11" t="str">
        <f aca="false">IF(OR(E448="",F448=""),"",ROUND(E448*(1+F448/30),1))</f>
        <v/>
      </c>
      <c r="H448" s="18" t="str">
        <f aca="false">IF(G448="","",IF(G448&gt;=_xlfn.MAXIFS($G$2:$G$501,$C$2:$C$501,C448),"PR",""))</f>
        <v/>
      </c>
      <c r="I448" s="6"/>
    </row>
    <row r="449" customFormat="false" ht="15" hidden="false" customHeight="false" outlineLevel="0" collapsed="false">
      <c r="A449" s="9"/>
      <c r="B449" s="6"/>
      <c r="C449" s="6"/>
      <c r="D449" s="6"/>
      <c r="E449" s="6"/>
      <c r="F449" s="6"/>
      <c r="G449" s="11" t="str">
        <f aca="false">IF(OR(E449="",F449=""),"",ROUND(E449*(1+F449/30),1))</f>
        <v/>
      </c>
      <c r="H449" s="18" t="str">
        <f aca="false">IF(G449="","",IF(G449&gt;=_xlfn.MAXIFS($G$2:$G$501,$C$2:$C$501,C449),"PR",""))</f>
        <v/>
      </c>
      <c r="I449" s="6"/>
    </row>
    <row r="450" customFormat="false" ht="15" hidden="false" customHeight="false" outlineLevel="0" collapsed="false">
      <c r="A450" s="9"/>
      <c r="B450" s="6"/>
      <c r="C450" s="6"/>
      <c r="D450" s="6"/>
      <c r="E450" s="6"/>
      <c r="F450" s="6"/>
      <c r="G450" s="11" t="str">
        <f aca="false">IF(OR(E450="",F450=""),"",ROUND(E450*(1+F450/30),1))</f>
        <v/>
      </c>
      <c r="H450" s="18" t="str">
        <f aca="false">IF(G450="","",IF(G450&gt;=_xlfn.MAXIFS($G$2:$G$501,$C$2:$C$501,C450),"PR",""))</f>
        <v/>
      </c>
      <c r="I450" s="6"/>
    </row>
    <row r="451" customFormat="false" ht="15" hidden="false" customHeight="false" outlineLevel="0" collapsed="false">
      <c r="A451" s="9"/>
      <c r="B451" s="6"/>
      <c r="C451" s="6"/>
      <c r="D451" s="6"/>
      <c r="E451" s="6"/>
      <c r="F451" s="6"/>
      <c r="G451" s="11" t="str">
        <f aca="false">IF(OR(E451="",F451=""),"",ROUND(E451*(1+F451/30),1))</f>
        <v/>
      </c>
      <c r="H451" s="18" t="str">
        <f aca="false">IF(G451="","",IF(G451&gt;=_xlfn.MAXIFS($G$2:$G$501,$C$2:$C$501,C451),"PR",""))</f>
        <v/>
      </c>
      <c r="I451" s="6"/>
    </row>
    <row r="452" customFormat="false" ht="15" hidden="false" customHeight="false" outlineLevel="0" collapsed="false">
      <c r="A452" s="9"/>
      <c r="B452" s="6"/>
      <c r="C452" s="6"/>
      <c r="D452" s="6"/>
      <c r="E452" s="6"/>
      <c r="F452" s="6"/>
      <c r="G452" s="11" t="str">
        <f aca="false">IF(OR(E452="",F452=""),"",ROUND(E452*(1+F452/30),1))</f>
        <v/>
      </c>
      <c r="H452" s="18" t="str">
        <f aca="false">IF(G452="","",IF(G452&gt;=_xlfn.MAXIFS($G$2:$G$501,$C$2:$C$501,C452),"PR",""))</f>
        <v/>
      </c>
      <c r="I452" s="6"/>
    </row>
    <row r="453" customFormat="false" ht="15" hidden="false" customHeight="false" outlineLevel="0" collapsed="false">
      <c r="A453" s="9"/>
      <c r="B453" s="6"/>
      <c r="C453" s="6"/>
      <c r="D453" s="6"/>
      <c r="E453" s="6"/>
      <c r="F453" s="6"/>
      <c r="G453" s="11" t="str">
        <f aca="false">IF(OR(E453="",F453=""),"",ROUND(E453*(1+F453/30),1))</f>
        <v/>
      </c>
      <c r="H453" s="18" t="str">
        <f aca="false">IF(G453="","",IF(G453&gt;=_xlfn.MAXIFS($G$2:$G$501,$C$2:$C$501,C453),"PR",""))</f>
        <v/>
      </c>
      <c r="I453" s="6"/>
    </row>
    <row r="454" customFormat="false" ht="15" hidden="false" customHeight="false" outlineLevel="0" collapsed="false">
      <c r="A454" s="9"/>
      <c r="B454" s="6"/>
      <c r="C454" s="6"/>
      <c r="D454" s="6"/>
      <c r="E454" s="6"/>
      <c r="F454" s="6"/>
      <c r="G454" s="11" t="str">
        <f aca="false">IF(OR(E454="",F454=""),"",ROUND(E454*(1+F454/30),1))</f>
        <v/>
      </c>
      <c r="H454" s="18" t="str">
        <f aca="false">IF(G454="","",IF(G454&gt;=_xlfn.MAXIFS($G$2:$G$501,$C$2:$C$501,C454),"PR",""))</f>
        <v/>
      </c>
      <c r="I454" s="6"/>
    </row>
    <row r="455" customFormat="false" ht="15" hidden="false" customHeight="false" outlineLevel="0" collapsed="false">
      <c r="A455" s="9"/>
      <c r="B455" s="6"/>
      <c r="C455" s="6"/>
      <c r="D455" s="6"/>
      <c r="E455" s="6"/>
      <c r="F455" s="6"/>
      <c r="G455" s="11" t="str">
        <f aca="false">IF(OR(E455="",F455=""),"",ROUND(E455*(1+F455/30),1))</f>
        <v/>
      </c>
      <c r="H455" s="18" t="str">
        <f aca="false">IF(G455="","",IF(G455&gt;=_xlfn.MAXIFS($G$2:$G$501,$C$2:$C$501,C455),"PR",""))</f>
        <v/>
      </c>
      <c r="I455" s="6"/>
    </row>
    <row r="456" customFormat="false" ht="15" hidden="false" customHeight="false" outlineLevel="0" collapsed="false">
      <c r="A456" s="9"/>
      <c r="B456" s="6"/>
      <c r="C456" s="6"/>
      <c r="D456" s="6"/>
      <c r="E456" s="6"/>
      <c r="F456" s="6"/>
      <c r="G456" s="11" t="str">
        <f aca="false">IF(OR(E456="",F456=""),"",ROUND(E456*(1+F456/30),1))</f>
        <v/>
      </c>
      <c r="H456" s="18" t="str">
        <f aca="false">IF(G456="","",IF(G456&gt;=_xlfn.MAXIFS($G$2:$G$501,$C$2:$C$501,C456),"PR",""))</f>
        <v/>
      </c>
      <c r="I456" s="6"/>
    </row>
    <row r="457" customFormat="false" ht="15" hidden="false" customHeight="false" outlineLevel="0" collapsed="false">
      <c r="A457" s="9"/>
      <c r="B457" s="6"/>
      <c r="C457" s="6"/>
      <c r="D457" s="6"/>
      <c r="E457" s="6"/>
      <c r="F457" s="6"/>
      <c r="G457" s="11" t="str">
        <f aca="false">IF(OR(E457="",F457=""),"",ROUND(E457*(1+F457/30),1))</f>
        <v/>
      </c>
      <c r="H457" s="18" t="str">
        <f aca="false">IF(G457="","",IF(G457&gt;=_xlfn.MAXIFS($G$2:$G$501,$C$2:$C$501,C457),"PR",""))</f>
        <v/>
      </c>
      <c r="I457" s="6"/>
    </row>
    <row r="458" customFormat="false" ht="15" hidden="false" customHeight="false" outlineLevel="0" collapsed="false">
      <c r="A458" s="9"/>
      <c r="B458" s="6"/>
      <c r="C458" s="6"/>
      <c r="D458" s="6"/>
      <c r="E458" s="6"/>
      <c r="F458" s="6"/>
      <c r="G458" s="11" t="str">
        <f aca="false">IF(OR(E458="",F458=""),"",ROUND(E458*(1+F458/30),1))</f>
        <v/>
      </c>
      <c r="H458" s="18" t="str">
        <f aca="false">IF(G458="","",IF(G458&gt;=_xlfn.MAXIFS($G$2:$G$501,$C$2:$C$501,C458),"PR",""))</f>
        <v/>
      </c>
      <c r="I458" s="6"/>
    </row>
    <row r="459" customFormat="false" ht="15" hidden="false" customHeight="false" outlineLevel="0" collapsed="false">
      <c r="A459" s="9"/>
      <c r="B459" s="6"/>
      <c r="C459" s="6"/>
      <c r="D459" s="6"/>
      <c r="E459" s="6"/>
      <c r="F459" s="6"/>
      <c r="G459" s="11" t="str">
        <f aca="false">IF(OR(E459="",F459=""),"",ROUND(E459*(1+F459/30),1))</f>
        <v/>
      </c>
      <c r="H459" s="18" t="str">
        <f aca="false">IF(G459="","",IF(G459&gt;=_xlfn.MAXIFS($G$2:$G$501,$C$2:$C$501,C459),"PR",""))</f>
        <v/>
      </c>
      <c r="I459" s="6"/>
    </row>
    <row r="460" customFormat="false" ht="15" hidden="false" customHeight="false" outlineLevel="0" collapsed="false">
      <c r="A460" s="9"/>
      <c r="B460" s="6"/>
      <c r="C460" s="6"/>
      <c r="D460" s="6"/>
      <c r="E460" s="6"/>
      <c r="F460" s="6"/>
      <c r="G460" s="11" t="str">
        <f aca="false">IF(OR(E460="",F460=""),"",ROUND(E460*(1+F460/30),1))</f>
        <v/>
      </c>
      <c r="H460" s="18" t="str">
        <f aca="false">IF(G460="","",IF(G460&gt;=_xlfn.MAXIFS($G$2:$G$501,$C$2:$C$501,C460),"PR",""))</f>
        <v/>
      </c>
      <c r="I460" s="6"/>
    </row>
    <row r="461" customFormat="false" ht="15" hidden="false" customHeight="false" outlineLevel="0" collapsed="false">
      <c r="A461" s="9"/>
      <c r="B461" s="6"/>
      <c r="C461" s="6"/>
      <c r="D461" s="6"/>
      <c r="E461" s="6"/>
      <c r="F461" s="6"/>
      <c r="G461" s="11" t="str">
        <f aca="false">IF(OR(E461="",F461=""),"",ROUND(E461*(1+F461/30),1))</f>
        <v/>
      </c>
      <c r="H461" s="18" t="str">
        <f aca="false">IF(G461="","",IF(G461&gt;=_xlfn.MAXIFS($G$2:$G$501,$C$2:$C$501,C461),"PR",""))</f>
        <v/>
      </c>
      <c r="I461" s="6"/>
    </row>
    <row r="462" customFormat="false" ht="15" hidden="false" customHeight="false" outlineLevel="0" collapsed="false">
      <c r="A462" s="9"/>
      <c r="B462" s="6"/>
      <c r="C462" s="6"/>
      <c r="D462" s="6"/>
      <c r="E462" s="6"/>
      <c r="F462" s="6"/>
      <c r="G462" s="11" t="str">
        <f aca="false">IF(OR(E462="",F462=""),"",ROUND(E462*(1+F462/30),1))</f>
        <v/>
      </c>
      <c r="H462" s="18" t="str">
        <f aca="false">IF(G462="","",IF(G462&gt;=_xlfn.MAXIFS($G$2:$G$501,$C$2:$C$501,C462),"PR",""))</f>
        <v/>
      </c>
      <c r="I462" s="6"/>
    </row>
    <row r="463" customFormat="false" ht="15" hidden="false" customHeight="false" outlineLevel="0" collapsed="false">
      <c r="A463" s="9"/>
      <c r="B463" s="6"/>
      <c r="C463" s="6"/>
      <c r="D463" s="6"/>
      <c r="E463" s="6"/>
      <c r="F463" s="6"/>
      <c r="G463" s="11" t="str">
        <f aca="false">IF(OR(E463="",F463=""),"",ROUND(E463*(1+F463/30),1))</f>
        <v/>
      </c>
      <c r="H463" s="18" t="str">
        <f aca="false">IF(G463="","",IF(G463&gt;=_xlfn.MAXIFS($G$2:$G$501,$C$2:$C$501,C463),"PR",""))</f>
        <v/>
      </c>
      <c r="I463" s="6"/>
    </row>
    <row r="464" customFormat="false" ht="15" hidden="false" customHeight="false" outlineLevel="0" collapsed="false">
      <c r="A464" s="9"/>
      <c r="B464" s="6"/>
      <c r="C464" s="6"/>
      <c r="D464" s="6"/>
      <c r="E464" s="6"/>
      <c r="F464" s="6"/>
      <c r="G464" s="11" t="str">
        <f aca="false">IF(OR(E464="",F464=""),"",ROUND(E464*(1+F464/30),1))</f>
        <v/>
      </c>
      <c r="H464" s="18" t="str">
        <f aca="false">IF(G464="","",IF(G464&gt;=_xlfn.MAXIFS($G$2:$G$501,$C$2:$C$501,C464),"PR",""))</f>
        <v/>
      </c>
      <c r="I464" s="6"/>
    </row>
    <row r="465" customFormat="false" ht="15" hidden="false" customHeight="false" outlineLevel="0" collapsed="false">
      <c r="A465" s="9"/>
      <c r="B465" s="6"/>
      <c r="C465" s="6"/>
      <c r="D465" s="6"/>
      <c r="E465" s="6"/>
      <c r="F465" s="6"/>
      <c r="G465" s="11" t="str">
        <f aca="false">IF(OR(E465="",F465=""),"",ROUND(E465*(1+F465/30),1))</f>
        <v/>
      </c>
      <c r="H465" s="18" t="str">
        <f aca="false">IF(G465="","",IF(G465&gt;=_xlfn.MAXIFS($G$2:$G$501,$C$2:$C$501,C465),"PR",""))</f>
        <v/>
      </c>
      <c r="I465" s="6"/>
    </row>
    <row r="466" customFormat="false" ht="15" hidden="false" customHeight="false" outlineLevel="0" collapsed="false">
      <c r="A466" s="9"/>
      <c r="B466" s="6"/>
      <c r="C466" s="6"/>
      <c r="D466" s="6"/>
      <c r="E466" s="6"/>
      <c r="F466" s="6"/>
      <c r="G466" s="11" t="str">
        <f aca="false">IF(OR(E466="",F466=""),"",ROUND(E466*(1+F466/30),1))</f>
        <v/>
      </c>
      <c r="H466" s="18" t="str">
        <f aca="false">IF(G466="","",IF(G466&gt;=_xlfn.MAXIFS($G$2:$G$501,$C$2:$C$501,C466),"PR",""))</f>
        <v/>
      </c>
      <c r="I466" s="6"/>
    </row>
    <row r="467" customFormat="false" ht="15" hidden="false" customHeight="false" outlineLevel="0" collapsed="false">
      <c r="A467" s="9"/>
      <c r="B467" s="6"/>
      <c r="C467" s="6"/>
      <c r="D467" s="6"/>
      <c r="E467" s="6"/>
      <c r="F467" s="6"/>
      <c r="G467" s="11" t="str">
        <f aca="false">IF(OR(E467="",F467=""),"",ROUND(E467*(1+F467/30),1))</f>
        <v/>
      </c>
      <c r="H467" s="18" t="str">
        <f aca="false">IF(G467="","",IF(G467&gt;=_xlfn.MAXIFS($G$2:$G$501,$C$2:$C$501,C467),"PR",""))</f>
        <v/>
      </c>
      <c r="I467" s="6"/>
    </row>
    <row r="468" customFormat="false" ht="15" hidden="false" customHeight="false" outlineLevel="0" collapsed="false">
      <c r="A468" s="9"/>
      <c r="B468" s="6"/>
      <c r="C468" s="6"/>
      <c r="D468" s="6"/>
      <c r="E468" s="6"/>
      <c r="F468" s="6"/>
      <c r="G468" s="11" t="str">
        <f aca="false">IF(OR(E468="",F468=""),"",ROUND(E468*(1+F468/30),1))</f>
        <v/>
      </c>
      <c r="H468" s="18" t="str">
        <f aca="false">IF(G468="","",IF(G468&gt;=_xlfn.MAXIFS($G$2:$G$501,$C$2:$C$501,C468),"PR",""))</f>
        <v/>
      </c>
      <c r="I468" s="6"/>
    </row>
    <row r="469" customFormat="false" ht="15" hidden="false" customHeight="false" outlineLevel="0" collapsed="false">
      <c r="A469" s="9"/>
      <c r="B469" s="6"/>
      <c r="C469" s="6"/>
      <c r="D469" s="6"/>
      <c r="E469" s="6"/>
      <c r="F469" s="6"/>
      <c r="G469" s="11" t="str">
        <f aca="false">IF(OR(E469="",F469=""),"",ROUND(E469*(1+F469/30),1))</f>
        <v/>
      </c>
      <c r="H469" s="18" t="str">
        <f aca="false">IF(G469="","",IF(G469&gt;=_xlfn.MAXIFS($G$2:$G$501,$C$2:$C$501,C469),"PR",""))</f>
        <v/>
      </c>
      <c r="I469" s="6"/>
    </row>
    <row r="470" customFormat="false" ht="15" hidden="false" customHeight="false" outlineLevel="0" collapsed="false">
      <c r="A470" s="9"/>
      <c r="B470" s="6"/>
      <c r="C470" s="6"/>
      <c r="D470" s="6"/>
      <c r="E470" s="6"/>
      <c r="F470" s="6"/>
      <c r="G470" s="11" t="str">
        <f aca="false">IF(OR(E470="",F470=""),"",ROUND(E470*(1+F470/30),1))</f>
        <v/>
      </c>
      <c r="H470" s="18" t="str">
        <f aca="false">IF(G470="","",IF(G470&gt;=_xlfn.MAXIFS($G$2:$G$501,$C$2:$C$501,C470),"PR",""))</f>
        <v/>
      </c>
      <c r="I470" s="6"/>
    </row>
    <row r="471" customFormat="false" ht="15" hidden="false" customHeight="false" outlineLevel="0" collapsed="false">
      <c r="A471" s="9"/>
      <c r="B471" s="6"/>
      <c r="C471" s="6"/>
      <c r="D471" s="6"/>
      <c r="E471" s="6"/>
      <c r="F471" s="6"/>
      <c r="G471" s="11" t="str">
        <f aca="false">IF(OR(E471="",F471=""),"",ROUND(E471*(1+F471/30),1))</f>
        <v/>
      </c>
      <c r="H471" s="18" t="str">
        <f aca="false">IF(G471="","",IF(G471&gt;=_xlfn.MAXIFS($G$2:$G$501,$C$2:$C$501,C471),"PR",""))</f>
        <v/>
      </c>
      <c r="I471" s="6"/>
    </row>
    <row r="472" customFormat="false" ht="15" hidden="false" customHeight="false" outlineLevel="0" collapsed="false">
      <c r="A472" s="9"/>
      <c r="B472" s="6"/>
      <c r="C472" s="6"/>
      <c r="D472" s="6"/>
      <c r="E472" s="6"/>
      <c r="F472" s="6"/>
      <c r="G472" s="11" t="str">
        <f aca="false">IF(OR(E472="",F472=""),"",ROUND(E472*(1+F472/30),1))</f>
        <v/>
      </c>
      <c r="H472" s="18" t="str">
        <f aca="false">IF(G472="","",IF(G472&gt;=_xlfn.MAXIFS($G$2:$G$501,$C$2:$C$501,C472),"PR",""))</f>
        <v/>
      </c>
      <c r="I472" s="6"/>
    </row>
    <row r="473" customFormat="false" ht="15" hidden="false" customHeight="false" outlineLevel="0" collapsed="false">
      <c r="A473" s="9"/>
      <c r="B473" s="6"/>
      <c r="C473" s="6"/>
      <c r="D473" s="6"/>
      <c r="E473" s="6"/>
      <c r="F473" s="6"/>
      <c r="G473" s="11" t="str">
        <f aca="false">IF(OR(E473="",F473=""),"",ROUND(E473*(1+F473/30),1))</f>
        <v/>
      </c>
      <c r="H473" s="18" t="str">
        <f aca="false">IF(G473="","",IF(G473&gt;=_xlfn.MAXIFS($G$2:$G$501,$C$2:$C$501,C473),"PR",""))</f>
        <v/>
      </c>
      <c r="I473" s="6"/>
    </row>
    <row r="474" customFormat="false" ht="15" hidden="false" customHeight="false" outlineLevel="0" collapsed="false">
      <c r="A474" s="9"/>
      <c r="B474" s="6"/>
      <c r="C474" s="6"/>
      <c r="D474" s="6"/>
      <c r="E474" s="6"/>
      <c r="F474" s="6"/>
      <c r="G474" s="11" t="str">
        <f aca="false">IF(OR(E474="",F474=""),"",ROUND(E474*(1+F474/30),1))</f>
        <v/>
      </c>
      <c r="H474" s="18" t="str">
        <f aca="false">IF(G474="","",IF(G474&gt;=_xlfn.MAXIFS($G$2:$G$501,$C$2:$C$501,C474),"PR",""))</f>
        <v/>
      </c>
      <c r="I474" s="6"/>
    </row>
    <row r="475" customFormat="false" ht="15" hidden="false" customHeight="false" outlineLevel="0" collapsed="false">
      <c r="A475" s="9"/>
      <c r="B475" s="6"/>
      <c r="C475" s="6"/>
      <c r="D475" s="6"/>
      <c r="E475" s="6"/>
      <c r="F475" s="6"/>
      <c r="G475" s="11" t="str">
        <f aca="false">IF(OR(E475="",F475=""),"",ROUND(E475*(1+F475/30),1))</f>
        <v/>
      </c>
      <c r="H475" s="18" t="str">
        <f aca="false">IF(G475="","",IF(G475&gt;=_xlfn.MAXIFS($G$2:$G$501,$C$2:$C$501,C475),"PR",""))</f>
        <v/>
      </c>
      <c r="I475" s="6"/>
    </row>
    <row r="476" customFormat="false" ht="15" hidden="false" customHeight="false" outlineLevel="0" collapsed="false">
      <c r="A476" s="9"/>
      <c r="B476" s="6"/>
      <c r="C476" s="6"/>
      <c r="D476" s="6"/>
      <c r="E476" s="6"/>
      <c r="F476" s="6"/>
      <c r="G476" s="11" t="str">
        <f aca="false">IF(OR(E476="",F476=""),"",ROUND(E476*(1+F476/30),1))</f>
        <v/>
      </c>
      <c r="H476" s="18" t="str">
        <f aca="false">IF(G476="","",IF(G476&gt;=_xlfn.MAXIFS($G$2:$G$501,$C$2:$C$501,C476),"PR",""))</f>
        <v/>
      </c>
      <c r="I476" s="6"/>
    </row>
    <row r="477" customFormat="false" ht="15" hidden="false" customHeight="false" outlineLevel="0" collapsed="false">
      <c r="A477" s="9"/>
      <c r="B477" s="6"/>
      <c r="C477" s="6"/>
      <c r="D477" s="6"/>
      <c r="E477" s="6"/>
      <c r="F477" s="6"/>
      <c r="G477" s="11" t="str">
        <f aca="false">IF(OR(E477="",F477=""),"",ROUND(E477*(1+F477/30),1))</f>
        <v/>
      </c>
      <c r="H477" s="18" t="str">
        <f aca="false">IF(G477="","",IF(G477&gt;=_xlfn.MAXIFS($G$2:$G$501,$C$2:$C$501,C477),"PR",""))</f>
        <v/>
      </c>
      <c r="I477" s="6"/>
    </row>
    <row r="478" customFormat="false" ht="15" hidden="false" customHeight="false" outlineLevel="0" collapsed="false">
      <c r="A478" s="9"/>
      <c r="B478" s="6"/>
      <c r="C478" s="6"/>
      <c r="D478" s="6"/>
      <c r="E478" s="6"/>
      <c r="F478" s="6"/>
      <c r="G478" s="11" t="str">
        <f aca="false">IF(OR(E478="",F478=""),"",ROUND(E478*(1+F478/30),1))</f>
        <v/>
      </c>
      <c r="H478" s="18" t="str">
        <f aca="false">IF(G478="","",IF(G478&gt;=_xlfn.MAXIFS($G$2:$G$501,$C$2:$C$501,C478),"PR",""))</f>
        <v/>
      </c>
      <c r="I478" s="6"/>
    </row>
    <row r="479" customFormat="false" ht="15" hidden="false" customHeight="false" outlineLevel="0" collapsed="false">
      <c r="A479" s="9"/>
      <c r="B479" s="6"/>
      <c r="C479" s="6"/>
      <c r="D479" s="6"/>
      <c r="E479" s="6"/>
      <c r="F479" s="6"/>
      <c r="G479" s="11" t="str">
        <f aca="false">IF(OR(E479="",F479=""),"",ROUND(E479*(1+F479/30),1))</f>
        <v/>
      </c>
      <c r="H479" s="18" t="str">
        <f aca="false">IF(G479="","",IF(G479&gt;=_xlfn.MAXIFS($G$2:$G$501,$C$2:$C$501,C479),"PR",""))</f>
        <v/>
      </c>
      <c r="I479" s="6"/>
    </row>
    <row r="480" customFormat="false" ht="15" hidden="false" customHeight="false" outlineLevel="0" collapsed="false">
      <c r="A480" s="9"/>
      <c r="B480" s="6"/>
      <c r="C480" s="6"/>
      <c r="D480" s="6"/>
      <c r="E480" s="6"/>
      <c r="F480" s="6"/>
      <c r="G480" s="11" t="str">
        <f aca="false">IF(OR(E480="",F480=""),"",ROUND(E480*(1+F480/30),1))</f>
        <v/>
      </c>
      <c r="H480" s="18" t="str">
        <f aca="false">IF(G480="","",IF(G480&gt;=_xlfn.MAXIFS($G$2:$G$501,$C$2:$C$501,C480),"PR",""))</f>
        <v/>
      </c>
      <c r="I480" s="6"/>
    </row>
    <row r="481" customFormat="false" ht="15" hidden="false" customHeight="false" outlineLevel="0" collapsed="false">
      <c r="A481" s="9"/>
      <c r="B481" s="6"/>
      <c r="C481" s="6"/>
      <c r="D481" s="6"/>
      <c r="E481" s="6"/>
      <c r="F481" s="6"/>
      <c r="G481" s="11" t="str">
        <f aca="false">IF(OR(E481="",F481=""),"",ROUND(E481*(1+F481/30),1))</f>
        <v/>
      </c>
      <c r="H481" s="18" t="str">
        <f aca="false">IF(G481="","",IF(G481&gt;=_xlfn.MAXIFS($G$2:$G$501,$C$2:$C$501,C481),"PR",""))</f>
        <v/>
      </c>
      <c r="I481" s="6"/>
    </row>
    <row r="482" customFormat="false" ht="15" hidden="false" customHeight="false" outlineLevel="0" collapsed="false">
      <c r="A482" s="9"/>
      <c r="B482" s="6"/>
      <c r="C482" s="6"/>
      <c r="D482" s="6"/>
      <c r="E482" s="6"/>
      <c r="F482" s="6"/>
      <c r="G482" s="11" t="str">
        <f aca="false">IF(OR(E482="",F482=""),"",ROUND(E482*(1+F482/30),1))</f>
        <v/>
      </c>
      <c r="H482" s="18" t="str">
        <f aca="false">IF(G482="","",IF(G482&gt;=_xlfn.MAXIFS($G$2:$G$501,$C$2:$C$501,C482),"PR",""))</f>
        <v/>
      </c>
      <c r="I482" s="6"/>
    </row>
    <row r="483" customFormat="false" ht="15" hidden="false" customHeight="false" outlineLevel="0" collapsed="false">
      <c r="A483" s="9"/>
      <c r="B483" s="6"/>
      <c r="C483" s="6"/>
      <c r="D483" s="6"/>
      <c r="E483" s="6"/>
      <c r="F483" s="6"/>
      <c r="G483" s="11" t="str">
        <f aca="false">IF(OR(E483="",F483=""),"",ROUND(E483*(1+F483/30),1))</f>
        <v/>
      </c>
      <c r="H483" s="18" t="str">
        <f aca="false">IF(G483="","",IF(G483&gt;=_xlfn.MAXIFS($G$2:$G$501,$C$2:$C$501,C483),"PR",""))</f>
        <v/>
      </c>
      <c r="I483" s="6"/>
    </row>
    <row r="484" customFormat="false" ht="15" hidden="false" customHeight="false" outlineLevel="0" collapsed="false">
      <c r="A484" s="9"/>
      <c r="B484" s="6"/>
      <c r="C484" s="6"/>
      <c r="D484" s="6"/>
      <c r="E484" s="6"/>
      <c r="F484" s="6"/>
      <c r="G484" s="11" t="str">
        <f aca="false">IF(OR(E484="",F484=""),"",ROUND(E484*(1+F484/30),1))</f>
        <v/>
      </c>
      <c r="H484" s="18" t="str">
        <f aca="false">IF(G484="","",IF(G484&gt;=_xlfn.MAXIFS($G$2:$G$501,$C$2:$C$501,C484),"PR",""))</f>
        <v/>
      </c>
      <c r="I484" s="6"/>
    </row>
    <row r="485" customFormat="false" ht="15" hidden="false" customHeight="false" outlineLevel="0" collapsed="false">
      <c r="A485" s="9"/>
      <c r="B485" s="6"/>
      <c r="C485" s="6"/>
      <c r="D485" s="6"/>
      <c r="E485" s="6"/>
      <c r="F485" s="6"/>
      <c r="G485" s="11" t="str">
        <f aca="false">IF(OR(E485="",F485=""),"",ROUND(E485*(1+F485/30),1))</f>
        <v/>
      </c>
      <c r="H485" s="18" t="str">
        <f aca="false">IF(G485="","",IF(G485&gt;=_xlfn.MAXIFS($G$2:$G$501,$C$2:$C$501,C485),"PR",""))</f>
        <v/>
      </c>
      <c r="I485" s="6"/>
    </row>
    <row r="486" customFormat="false" ht="15" hidden="false" customHeight="false" outlineLevel="0" collapsed="false">
      <c r="A486" s="9"/>
      <c r="B486" s="6"/>
      <c r="C486" s="6"/>
      <c r="D486" s="6"/>
      <c r="E486" s="6"/>
      <c r="F486" s="6"/>
      <c r="G486" s="11" t="str">
        <f aca="false">IF(OR(E486="",F486=""),"",ROUND(E486*(1+F486/30),1))</f>
        <v/>
      </c>
      <c r="H486" s="18" t="str">
        <f aca="false">IF(G486="","",IF(G486&gt;=_xlfn.MAXIFS($G$2:$G$501,$C$2:$C$501,C486),"PR",""))</f>
        <v/>
      </c>
      <c r="I486" s="6"/>
    </row>
    <row r="487" customFormat="false" ht="15" hidden="false" customHeight="false" outlineLevel="0" collapsed="false">
      <c r="A487" s="9"/>
      <c r="B487" s="6"/>
      <c r="C487" s="6"/>
      <c r="D487" s="6"/>
      <c r="E487" s="6"/>
      <c r="F487" s="6"/>
      <c r="G487" s="11" t="str">
        <f aca="false">IF(OR(E487="",F487=""),"",ROUND(E487*(1+F487/30),1))</f>
        <v/>
      </c>
      <c r="H487" s="18" t="str">
        <f aca="false">IF(G487="","",IF(G487&gt;=_xlfn.MAXIFS($G$2:$G$501,$C$2:$C$501,C487),"PR",""))</f>
        <v/>
      </c>
      <c r="I487" s="6"/>
    </row>
    <row r="488" customFormat="false" ht="15" hidden="false" customHeight="false" outlineLevel="0" collapsed="false">
      <c r="A488" s="9"/>
      <c r="B488" s="6"/>
      <c r="C488" s="6"/>
      <c r="D488" s="6"/>
      <c r="E488" s="6"/>
      <c r="F488" s="6"/>
      <c r="G488" s="11" t="str">
        <f aca="false">IF(OR(E488="",F488=""),"",ROUND(E488*(1+F488/30),1))</f>
        <v/>
      </c>
      <c r="H488" s="18" t="str">
        <f aca="false">IF(G488="","",IF(G488&gt;=_xlfn.MAXIFS($G$2:$G$501,$C$2:$C$501,C488),"PR",""))</f>
        <v/>
      </c>
      <c r="I488" s="6"/>
    </row>
    <row r="489" customFormat="false" ht="15" hidden="false" customHeight="false" outlineLevel="0" collapsed="false">
      <c r="A489" s="9"/>
      <c r="B489" s="6"/>
      <c r="C489" s="6"/>
      <c r="D489" s="6"/>
      <c r="E489" s="6"/>
      <c r="F489" s="6"/>
      <c r="G489" s="11" t="str">
        <f aca="false">IF(OR(E489="",F489=""),"",ROUND(E489*(1+F489/30),1))</f>
        <v/>
      </c>
      <c r="H489" s="18" t="str">
        <f aca="false">IF(G489="","",IF(G489&gt;=_xlfn.MAXIFS($G$2:$G$501,$C$2:$C$501,C489),"PR",""))</f>
        <v/>
      </c>
      <c r="I489" s="6"/>
    </row>
    <row r="490" customFormat="false" ht="15" hidden="false" customHeight="false" outlineLevel="0" collapsed="false">
      <c r="A490" s="9"/>
      <c r="B490" s="6"/>
      <c r="C490" s="6"/>
      <c r="D490" s="6"/>
      <c r="E490" s="6"/>
      <c r="F490" s="6"/>
      <c r="G490" s="11" t="str">
        <f aca="false">IF(OR(E490="",F490=""),"",ROUND(E490*(1+F490/30),1))</f>
        <v/>
      </c>
      <c r="H490" s="18" t="str">
        <f aca="false">IF(G490="","",IF(G490&gt;=_xlfn.MAXIFS($G$2:$G$501,$C$2:$C$501,C490),"PR",""))</f>
        <v/>
      </c>
      <c r="I490" s="6"/>
    </row>
    <row r="491" customFormat="false" ht="15" hidden="false" customHeight="false" outlineLevel="0" collapsed="false">
      <c r="A491" s="9"/>
      <c r="B491" s="6"/>
      <c r="C491" s="6"/>
      <c r="D491" s="6"/>
      <c r="E491" s="6"/>
      <c r="F491" s="6"/>
      <c r="G491" s="11" t="str">
        <f aca="false">IF(OR(E491="",F491=""),"",ROUND(E491*(1+F491/30),1))</f>
        <v/>
      </c>
      <c r="H491" s="18" t="str">
        <f aca="false">IF(G491="","",IF(G491&gt;=_xlfn.MAXIFS($G$2:$G$501,$C$2:$C$501,C491),"PR",""))</f>
        <v/>
      </c>
      <c r="I491" s="6"/>
    </row>
    <row r="492" customFormat="false" ht="15" hidden="false" customHeight="false" outlineLevel="0" collapsed="false">
      <c r="A492" s="9"/>
      <c r="B492" s="6"/>
      <c r="C492" s="6"/>
      <c r="D492" s="6"/>
      <c r="E492" s="6"/>
      <c r="F492" s="6"/>
      <c r="G492" s="11" t="str">
        <f aca="false">IF(OR(E492="",F492=""),"",ROUND(E492*(1+F492/30),1))</f>
        <v/>
      </c>
      <c r="H492" s="18" t="str">
        <f aca="false">IF(G492="","",IF(G492&gt;=_xlfn.MAXIFS($G$2:$G$501,$C$2:$C$501,C492),"PR",""))</f>
        <v/>
      </c>
      <c r="I492" s="6"/>
    </row>
    <row r="493" customFormat="false" ht="15" hidden="false" customHeight="false" outlineLevel="0" collapsed="false">
      <c r="A493" s="9"/>
      <c r="B493" s="6"/>
      <c r="C493" s="6"/>
      <c r="D493" s="6"/>
      <c r="E493" s="6"/>
      <c r="F493" s="6"/>
      <c r="G493" s="11" t="str">
        <f aca="false">IF(OR(E493="",F493=""),"",ROUND(E493*(1+F493/30),1))</f>
        <v/>
      </c>
      <c r="H493" s="18" t="str">
        <f aca="false">IF(G493="","",IF(G493&gt;=_xlfn.MAXIFS($G$2:$G$501,$C$2:$C$501,C493),"PR",""))</f>
        <v/>
      </c>
      <c r="I493" s="6"/>
    </row>
    <row r="494" customFormat="false" ht="15" hidden="false" customHeight="false" outlineLevel="0" collapsed="false">
      <c r="A494" s="9"/>
      <c r="B494" s="6"/>
      <c r="C494" s="6"/>
      <c r="D494" s="6"/>
      <c r="E494" s="6"/>
      <c r="F494" s="6"/>
      <c r="G494" s="11" t="str">
        <f aca="false">IF(OR(E494="",F494=""),"",ROUND(E494*(1+F494/30),1))</f>
        <v/>
      </c>
      <c r="H494" s="18" t="str">
        <f aca="false">IF(G494="","",IF(G494&gt;=_xlfn.MAXIFS($G$2:$G$501,$C$2:$C$501,C494),"PR",""))</f>
        <v/>
      </c>
      <c r="I494" s="6"/>
    </row>
    <row r="495" customFormat="false" ht="15" hidden="false" customHeight="false" outlineLevel="0" collapsed="false">
      <c r="A495" s="9"/>
      <c r="B495" s="6"/>
      <c r="C495" s="6"/>
      <c r="D495" s="6"/>
      <c r="E495" s="6"/>
      <c r="F495" s="6"/>
      <c r="G495" s="11" t="str">
        <f aca="false">IF(OR(E495="",F495=""),"",ROUND(E495*(1+F495/30),1))</f>
        <v/>
      </c>
      <c r="H495" s="18" t="str">
        <f aca="false">IF(G495="","",IF(G495&gt;=_xlfn.MAXIFS($G$2:$G$501,$C$2:$C$501,C495),"PR",""))</f>
        <v/>
      </c>
      <c r="I495" s="6"/>
    </row>
    <row r="496" customFormat="false" ht="15" hidden="false" customHeight="false" outlineLevel="0" collapsed="false">
      <c r="A496" s="9"/>
      <c r="B496" s="6"/>
      <c r="C496" s="6"/>
      <c r="D496" s="6"/>
      <c r="E496" s="6"/>
      <c r="F496" s="6"/>
      <c r="G496" s="11" t="str">
        <f aca="false">IF(OR(E496="",F496=""),"",ROUND(E496*(1+F496/30),1))</f>
        <v/>
      </c>
      <c r="H496" s="18" t="str">
        <f aca="false">IF(G496="","",IF(G496&gt;=_xlfn.MAXIFS($G$2:$G$501,$C$2:$C$501,C496),"PR",""))</f>
        <v/>
      </c>
      <c r="I496" s="6"/>
    </row>
    <row r="497" customFormat="false" ht="15" hidden="false" customHeight="false" outlineLevel="0" collapsed="false">
      <c r="A497" s="9"/>
      <c r="B497" s="6"/>
      <c r="C497" s="6"/>
      <c r="D497" s="6"/>
      <c r="E497" s="6"/>
      <c r="F497" s="6"/>
      <c r="G497" s="11" t="str">
        <f aca="false">IF(OR(E497="",F497=""),"",ROUND(E497*(1+F497/30),1))</f>
        <v/>
      </c>
      <c r="H497" s="18" t="str">
        <f aca="false">IF(G497="","",IF(G497&gt;=_xlfn.MAXIFS($G$2:$G$501,$C$2:$C$501,C497),"PR",""))</f>
        <v/>
      </c>
      <c r="I497" s="6"/>
    </row>
    <row r="498" customFormat="false" ht="15" hidden="false" customHeight="false" outlineLevel="0" collapsed="false">
      <c r="A498" s="9"/>
      <c r="B498" s="6"/>
      <c r="C498" s="6"/>
      <c r="D498" s="6"/>
      <c r="E498" s="6"/>
      <c r="F498" s="6"/>
      <c r="G498" s="11" t="str">
        <f aca="false">IF(OR(E498="",F498=""),"",ROUND(E498*(1+F498/30),1))</f>
        <v/>
      </c>
      <c r="H498" s="18" t="str">
        <f aca="false">IF(G498="","",IF(G498&gt;=_xlfn.MAXIFS($G$2:$G$501,$C$2:$C$501,C498),"PR",""))</f>
        <v/>
      </c>
      <c r="I498" s="6"/>
    </row>
    <row r="499" customFormat="false" ht="15" hidden="false" customHeight="false" outlineLevel="0" collapsed="false">
      <c r="A499" s="9"/>
      <c r="B499" s="6"/>
      <c r="C499" s="6"/>
      <c r="D499" s="6"/>
      <c r="E499" s="6"/>
      <c r="F499" s="6"/>
      <c r="G499" s="11" t="str">
        <f aca="false">IF(OR(E499="",F499=""),"",ROUND(E499*(1+F499/30),1))</f>
        <v/>
      </c>
      <c r="H499" s="18" t="str">
        <f aca="false">IF(G499="","",IF(G499&gt;=_xlfn.MAXIFS($G$2:$G$501,$C$2:$C$501,C499),"PR",""))</f>
        <v/>
      </c>
      <c r="I499" s="6"/>
    </row>
    <row r="500" customFormat="false" ht="15" hidden="false" customHeight="false" outlineLevel="0" collapsed="false">
      <c r="A500" s="9"/>
      <c r="B500" s="6"/>
      <c r="C500" s="6"/>
      <c r="D500" s="6"/>
      <c r="E500" s="6"/>
      <c r="F500" s="6"/>
      <c r="G500" s="11" t="str">
        <f aca="false">IF(OR(E500="",F500=""),"",ROUND(E500*(1+F500/30),1))</f>
        <v/>
      </c>
      <c r="H500" s="18" t="str">
        <f aca="false">IF(G500="","",IF(G500&gt;=_xlfn.MAXIFS($G$2:$G$501,$C$2:$C$501,C500),"PR",""))</f>
        <v/>
      </c>
      <c r="I500" s="6"/>
    </row>
    <row r="501" customFormat="false" ht="15" hidden="false" customHeight="false" outlineLevel="0" collapsed="false">
      <c r="A501" s="9"/>
      <c r="B501" s="6"/>
      <c r="C501" s="6"/>
      <c r="D501" s="6"/>
      <c r="E501" s="6"/>
      <c r="F501" s="6"/>
      <c r="G501" s="11" t="str">
        <f aca="false">IF(OR(E501="",F501=""),"",ROUND(E501*(1+F501/30),1))</f>
        <v/>
      </c>
      <c r="H501" s="18" t="str">
        <f aca="false">IF(G501="","",IF(G501&gt;=_xlfn.MAXIFS($G$2:$G$501,$C$2:$C$501,C501),"PR",""))</f>
        <v/>
      </c>
      <c r="I501" s="6"/>
    </row>
  </sheetData>
  <dataValidations count="2">
    <dataValidation allowBlank="true" errorStyle="stop" operator="between" showDropDown="false" showErrorMessage="false" showInputMessage="false" sqref="C2:C501" type="list">
      <formula1>Lists!$A$2:$A$23</formula1>
      <formula2>0</formula2>
    </dataValidation>
    <dataValidation allowBlank="true" errorStyle="stop" operator="between" showDropDown="false" showErrorMessage="false" showInputMessage="false" sqref="B2:B501" type="list">
      <formula1>Lists!$C$2:$C$9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30" hidden="false" customHeight="true" outlineLevel="0" collapsed="false">
      <c r="A1" s="8" t="s">
        <v>39</v>
      </c>
      <c r="B1" s="8" t="s">
        <v>51</v>
      </c>
      <c r="C1" s="8" t="s">
        <v>52</v>
      </c>
      <c r="D1" s="8" t="s">
        <v>53</v>
      </c>
    </row>
    <row r="2" customFormat="false" ht="15" hidden="false" customHeight="false" outlineLevel="0" collapsed="false">
      <c r="A2" s="5" t="str">
        <f aca="false">Lists!A2</f>
        <v>Goblet Squat</v>
      </c>
      <c r="B2" s="11" t="n">
        <f aca="false">IF(COUNTIF('Workout Log'!$C$2:$C$501,A2)=0,"",_xlfn.MAXIFS('Workout Log'!$G$2:$G$501,'Workout Log'!$C$2:$C$501,A2))</f>
        <v>46.7</v>
      </c>
      <c r="C2" s="5" t="n">
        <f aca="false">COUNTIF('Workout Log'!$C$2:$C$501,A2)</f>
        <v>2</v>
      </c>
      <c r="D2" s="19" t="n">
        <f aca="false">IF(C2=0,"",_xlfn.MAXIFS('Workout Log'!$A$2:$A$501,'Workout Log'!$C$2:$C$501,A2))</f>
        <v>46321</v>
      </c>
    </row>
    <row r="3" customFormat="false" ht="15" hidden="false" customHeight="false" outlineLevel="0" collapsed="false">
      <c r="A3" s="5" t="str">
        <f aca="false">Lists!A3</f>
        <v>Dumbbell Floor Press</v>
      </c>
      <c r="B3" s="11" t="n">
        <f aca="false">IF(COUNTIF('Workout Log'!$C$2:$C$501,A3)=0,"",_xlfn.MAXIFS('Workout Log'!$G$2:$G$501,'Workout Log'!$C$2:$C$501,A3))</f>
        <v>39</v>
      </c>
      <c r="C3" s="5" t="n">
        <f aca="false">COUNTIF('Workout Log'!$C$2:$C$501,A3)</f>
        <v>1</v>
      </c>
      <c r="D3" s="19" t="n">
        <f aca="false">IF(C3=0,"",_xlfn.MAXIFS('Workout Log'!$A$2:$A$501,'Workout Log'!$C$2:$C$501,A3))</f>
        <v>46321</v>
      </c>
    </row>
    <row r="4" customFormat="false" ht="15" hidden="false" customHeight="false" outlineLevel="0" collapsed="false">
      <c r="A4" s="5" t="str">
        <f aca="false">Lists!A4</f>
        <v>Dumbbell Bench Press</v>
      </c>
      <c r="B4" s="11" t="str">
        <f aca="false">IF(COUNTIF('Workout Log'!$C$2:$C$501,A4)=0,"",_xlfn.MAXIFS('Workout Log'!$G$2:$G$501,'Workout Log'!$C$2:$C$501,A4))</f>
        <v/>
      </c>
      <c r="C4" s="5" t="n">
        <f aca="false">COUNTIF('Workout Log'!$C$2:$C$501,A4)</f>
        <v>0</v>
      </c>
      <c r="D4" s="19" t="str">
        <f aca="false">IF(C4=0,"",_xlfn.MAXIFS('Workout Log'!$A$2:$A$501,'Workout Log'!$C$2:$C$501,A4))</f>
        <v/>
      </c>
    </row>
    <row r="5" customFormat="false" ht="15" hidden="false" customHeight="false" outlineLevel="0" collapsed="false">
      <c r="A5" s="5" t="str">
        <f aca="false">Lists!A5</f>
        <v>Dumbbell Bent-Over Row</v>
      </c>
      <c r="B5" s="11" t="str">
        <f aca="false">IF(COUNTIF('Workout Log'!$C$2:$C$501,A5)=0,"",_xlfn.MAXIFS('Workout Log'!$G$2:$G$501,'Workout Log'!$C$2:$C$501,A5))</f>
        <v/>
      </c>
      <c r="C5" s="5" t="n">
        <f aca="false">COUNTIF('Workout Log'!$C$2:$C$501,A5)</f>
        <v>0</v>
      </c>
      <c r="D5" s="19" t="str">
        <f aca="false">IF(C5=0,"",_xlfn.MAXIFS('Workout Log'!$A$2:$A$501,'Workout Log'!$C$2:$C$501,A5))</f>
        <v/>
      </c>
    </row>
    <row r="6" customFormat="false" ht="15" hidden="false" customHeight="false" outlineLevel="0" collapsed="false">
      <c r="A6" s="5" t="str">
        <f aca="false">Lists!A6</f>
        <v>Single-Arm Dumbbell Row</v>
      </c>
      <c r="B6" s="11" t="str">
        <f aca="false">IF(COUNTIF('Workout Log'!$C$2:$C$501,A6)=0,"",_xlfn.MAXIFS('Workout Log'!$G$2:$G$501,'Workout Log'!$C$2:$C$501,A6))</f>
        <v/>
      </c>
      <c r="C6" s="5" t="n">
        <f aca="false">COUNTIF('Workout Log'!$C$2:$C$501,A6)</f>
        <v>0</v>
      </c>
      <c r="D6" s="19" t="str">
        <f aca="false">IF(C6=0,"",_xlfn.MAXIFS('Workout Log'!$A$2:$A$501,'Workout Log'!$C$2:$C$501,A6))</f>
        <v/>
      </c>
    </row>
    <row r="7" customFormat="false" ht="15" hidden="false" customHeight="false" outlineLevel="0" collapsed="false">
      <c r="A7" s="5" t="str">
        <f aca="false">Lists!A7</f>
        <v>Dumbbell Romanian Deadlift</v>
      </c>
      <c r="B7" s="11" t="str">
        <f aca="false">IF(COUNTIF('Workout Log'!$C$2:$C$501,A7)=0,"",_xlfn.MAXIFS('Workout Log'!$G$2:$G$501,'Workout Log'!$C$2:$C$501,A7))</f>
        <v/>
      </c>
      <c r="C7" s="5" t="n">
        <f aca="false">COUNTIF('Workout Log'!$C$2:$C$501,A7)</f>
        <v>0</v>
      </c>
      <c r="D7" s="19" t="str">
        <f aca="false">IF(C7=0,"",_xlfn.MAXIFS('Workout Log'!$A$2:$A$501,'Workout Log'!$C$2:$C$501,A7))</f>
        <v/>
      </c>
    </row>
    <row r="8" customFormat="false" ht="15" hidden="false" customHeight="false" outlineLevel="0" collapsed="false">
      <c r="A8" s="5" t="str">
        <f aca="false">Lists!A8</f>
        <v>Dumbbell Overhead Press</v>
      </c>
      <c r="B8" s="11" t="str">
        <f aca="false">IF(COUNTIF('Workout Log'!$C$2:$C$501,A8)=0,"",_xlfn.MAXIFS('Workout Log'!$G$2:$G$501,'Workout Log'!$C$2:$C$501,A8))</f>
        <v/>
      </c>
      <c r="C8" s="5" t="n">
        <f aca="false">COUNTIF('Workout Log'!$C$2:$C$501,A8)</f>
        <v>0</v>
      </c>
      <c r="D8" s="19" t="str">
        <f aca="false">IF(C8=0,"",_xlfn.MAXIFS('Workout Log'!$A$2:$A$501,'Workout Log'!$C$2:$C$501,A8))</f>
        <v/>
      </c>
    </row>
    <row r="9" customFormat="false" ht="15" hidden="false" customHeight="false" outlineLevel="0" collapsed="false">
      <c r="A9" s="5" t="str">
        <f aca="false">Lists!A9</f>
        <v>Pull-up</v>
      </c>
      <c r="B9" s="11" t="n">
        <f aca="false">IF(COUNTIF('Workout Log'!$C$2:$C$501,A9)=0,"",_xlfn.MAXIFS('Workout Log'!$G$2:$G$501,'Workout Log'!$C$2:$C$501,A9))</f>
        <v>165.7</v>
      </c>
      <c r="C9" s="5" t="n">
        <f aca="false">COUNTIF('Workout Log'!$C$2:$C$501,A9)</f>
        <v>1</v>
      </c>
      <c r="D9" s="19" t="n">
        <f aca="false">IF(C9=0,"",_xlfn.MAXIFS('Workout Log'!$A$2:$A$501,'Workout Log'!$C$2:$C$501,A9))</f>
        <v>46323</v>
      </c>
    </row>
    <row r="10" customFormat="false" ht="15" hidden="false" customHeight="false" outlineLevel="0" collapsed="false">
      <c r="A10" s="5" t="str">
        <f aca="false">Lists!A10</f>
        <v>Chin-up</v>
      </c>
      <c r="B10" s="11" t="str">
        <f aca="false">IF(COUNTIF('Workout Log'!$C$2:$C$501,A10)=0,"",_xlfn.MAXIFS('Workout Log'!$G$2:$G$501,'Workout Log'!$C$2:$C$501,A10))</f>
        <v/>
      </c>
      <c r="C10" s="5" t="n">
        <f aca="false">COUNTIF('Workout Log'!$C$2:$C$501,A10)</f>
        <v>0</v>
      </c>
      <c r="D10" s="19" t="str">
        <f aca="false">IF(C10=0,"",_xlfn.MAXIFS('Workout Log'!$A$2:$A$501,'Workout Log'!$C$2:$C$501,A10))</f>
        <v/>
      </c>
    </row>
    <row r="11" customFormat="false" ht="15" hidden="false" customHeight="false" outlineLevel="0" collapsed="false">
      <c r="A11" s="5" t="str">
        <f aca="false">Lists!A11</f>
        <v>Inverted Row</v>
      </c>
      <c r="B11" s="11" t="str">
        <f aca="false">IF(COUNTIF('Workout Log'!$C$2:$C$501,A11)=0,"",_xlfn.MAXIFS('Workout Log'!$G$2:$G$501,'Workout Log'!$C$2:$C$501,A11))</f>
        <v/>
      </c>
      <c r="C11" s="5" t="n">
        <f aca="false">COUNTIF('Workout Log'!$C$2:$C$501,A11)</f>
        <v>0</v>
      </c>
      <c r="D11" s="19" t="str">
        <f aca="false">IF(C11=0,"",_xlfn.MAXIFS('Workout Log'!$A$2:$A$501,'Workout Log'!$C$2:$C$501,A11))</f>
        <v/>
      </c>
    </row>
    <row r="12" customFormat="false" ht="15" hidden="false" customHeight="false" outlineLevel="0" collapsed="false">
      <c r="A12" s="5" t="str">
        <f aca="false">Lists!A12</f>
        <v>Push-up</v>
      </c>
      <c r="B12" s="11" t="str">
        <f aca="false">IF(COUNTIF('Workout Log'!$C$2:$C$501,A12)=0,"",_xlfn.MAXIFS('Workout Log'!$G$2:$G$501,'Workout Log'!$C$2:$C$501,A12))</f>
        <v/>
      </c>
      <c r="C12" s="5" t="n">
        <f aca="false">COUNTIF('Workout Log'!$C$2:$C$501,A12)</f>
        <v>0</v>
      </c>
      <c r="D12" s="19" t="str">
        <f aca="false">IF(C12=0,"",_xlfn.MAXIFS('Workout Log'!$A$2:$A$501,'Workout Log'!$C$2:$C$501,A12))</f>
        <v/>
      </c>
    </row>
    <row r="13" customFormat="false" ht="15" hidden="false" customHeight="false" outlineLevel="0" collapsed="false">
      <c r="A13" s="5" t="str">
        <f aca="false">Lists!A13</f>
        <v>Dumbbell Reverse Lunge</v>
      </c>
      <c r="B13" s="11" t="str">
        <f aca="false">IF(COUNTIF('Workout Log'!$C$2:$C$501,A13)=0,"",_xlfn.MAXIFS('Workout Log'!$G$2:$G$501,'Workout Log'!$C$2:$C$501,A13))</f>
        <v/>
      </c>
      <c r="C13" s="5" t="n">
        <f aca="false">COUNTIF('Workout Log'!$C$2:$C$501,A13)</f>
        <v>0</v>
      </c>
      <c r="D13" s="19" t="str">
        <f aca="false">IF(C13=0,"",_xlfn.MAXIFS('Workout Log'!$A$2:$A$501,'Workout Log'!$C$2:$C$501,A13))</f>
        <v/>
      </c>
    </row>
    <row r="14" customFormat="false" ht="15" hidden="false" customHeight="false" outlineLevel="0" collapsed="false">
      <c r="A14" s="5" t="str">
        <f aca="false">Lists!A14</f>
        <v>Bulgarian Split Squat</v>
      </c>
      <c r="B14" s="11" t="str">
        <f aca="false">IF(COUNTIF('Workout Log'!$C$2:$C$501,A14)=0,"",_xlfn.MAXIFS('Workout Log'!$G$2:$G$501,'Workout Log'!$C$2:$C$501,A14))</f>
        <v/>
      </c>
      <c r="C14" s="5" t="n">
        <f aca="false">COUNTIF('Workout Log'!$C$2:$C$501,A14)</f>
        <v>0</v>
      </c>
      <c r="D14" s="19" t="str">
        <f aca="false">IF(C14=0,"",_xlfn.MAXIFS('Workout Log'!$A$2:$A$501,'Workout Log'!$C$2:$C$501,A14))</f>
        <v/>
      </c>
    </row>
    <row r="15" customFormat="false" ht="15" hidden="false" customHeight="false" outlineLevel="0" collapsed="false">
      <c r="A15" s="5" t="str">
        <f aca="false">Lists!A15</f>
        <v>Hip Thrust</v>
      </c>
      <c r="B15" s="11" t="str">
        <f aca="false">IF(COUNTIF('Workout Log'!$C$2:$C$501,A15)=0,"",_xlfn.MAXIFS('Workout Log'!$G$2:$G$501,'Workout Log'!$C$2:$C$501,A15))</f>
        <v/>
      </c>
      <c r="C15" s="5" t="n">
        <f aca="false">COUNTIF('Workout Log'!$C$2:$C$501,A15)</f>
        <v>0</v>
      </c>
      <c r="D15" s="19" t="str">
        <f aca="false">IF(C15=0,"",_xlfn.MAXIFS('Workout Log'!$A$2:$A$501,'Workout Log'!$C$2:$C$501,A15))</f>
        <v/>
      </c>
    </row>
    <row r="16" customFormat="false" ht="15" hidden="false" customHeight="false" outlineLevel="0" collapsed="false">
      <c r="A16" s="5" t="str">
        <f aca="false">Lists!A16</f>
        <v>Dumbbell Lateral Raise</v>
      </c>
      <c r="B16" s="11" t="str">
        <f aca="false">IF(COUNTIF('Workout Log'!$C$2:$C$501,A16)=0,"",_xlfn.MAXIFS('Workout Log'!$G$2:$G$501,'Workout Log'!$C$2:$C$501,A16))</f>
        <v/>
      </c>
      <c r="C16" s="5" t="n">
        <f aca="false">COUNTIF('Workout Log'!$C$2:$C$501,A16)</f>
        <v>0</v>
      </c>
      <c r="D16" s="19" t="str">
        <f aca="false">IF(C16=0,"",_xlfn.MAXIFS('Workout Log'!$A$2:$A$501,'Workout Log'!$C$2:$C$501,A16))</f>
        <v/>
      </c>
    </row>
    <row r="17" customFormat="false" ht="15" hidden="false" customHeight="false" outlineLevel="0" collapsed="false">
      <c r="A17" s="5" t="str">
        <f aca="false">Lists!A17</f>
        <v>Dumbbell Curl</v>
      </c>
      <c r="B17" s="11" t="str">
        <f aca="false">IF(COUNTIF('Workout Log'!$C$2:$C$501,A17)=0,"",_xlfn.MAXIFS('Workout Log'!$G$2:$G$501,'Workout Log'!$C$2:$C$501,A17))</f>
        <v/>
      </c>
      <c r="C17" s="5" t="n">
        <f aca="false">COUNTIF('Workout Log'!$C$2:$C$501,A17)</f>
        <v>0</v>
      </c>
      <c r="D17" s="19" t="str">
        <f aca="false">IF(C17=0,"",_xlfn.MAXIFS('Workout Log'!$A$2:$A$501,'Workout Log'!$C$2:$C$501,A17))</f>
        <v/>
      </c>
    </row>
    <row r="18" customFormat="false" ht="15" hidden="false" customHeight="false" outlineLevel="0" collapsed="false">
      <c r="A18" s="5" t="str">
        <f aca="false">Lists!A18</f>
        <v>Overhead Triceps Extension</v>
      </c>
      <c r="B18" s="11" t="str">
        <f aca="false">IF(COUNTIF('Workout Log'!$C$2:$C$501,A18)=0,"",_xlfn.MAXIFS('Workout Log'!$G$2:$G$501,'Workout Log'!$C$2:$C$501,A18))</f>
        <v/>
      </c>
      <c r="C18" s="5" t="n">
        <f aca="false">COUNTIF('Workout Log'!$C$2:$C$501,A18)</f>
        <v>0</v>
      </c>
      <c r="D18" s="19" t="str">
        <f aca="false">IF(C18=0,"",_xlfn.MAXIFS('Workout Log'!$A$2:$A$501,'Workout Log'!$C$2:$C$501,A18))</f>
        <v/>
      </c>
    </row>
    <row r="19" customFormat="false" ht="15" hidden="false" customHeight="false" outlineLevel="0" collapsed="false">
      <c r="A19" s="5" t="str">
        <f aca="false">Lists!A19</f>
        <v>Farmer Carry</v>
      </c>
      <c r="B19" s="11" t="str">
        <f aca="false">IF(COUNTIF('Workout Log'!$C$2:$C$501,A19)=0,"",_xlfn.MAXIFS('Workout Log'!$G$2:$G$501,'Workout Log'!$C$2:$C$501,A19))</f>
        <v/>
      </c>
      <c r="C19" s="5" t="n">
        <f aca="false">COUNTIF('Workout Log'!$C$2:$C$501,A19)</f>
        <v>0</v>
      </c>
      <c r="D19" s="19" t="str">
        <f aca="false">IF(C19=0,"",_xlfn.MAXIFS('Workout Log'!$A$2:$A$501,'Workout Log'!$C$2:$C$501,A19))</f>
        <v/>
      </c>
    </row>
    <row r="20" customFormat="false" ht="15" hidden="false" customHeight="false" outlineLevel="0" collapsed="false">
      <c r="A20" s="5" t="str">
        <f aca="false">Lists!A20</f>
        <v>Plank (seconds)</v>
      </c>
      <c r="B20" s="11" t="str">
        <f aca="false">IF(COUNTIF('Workout Log'!$C$2:$C$501,A20)=0,"",_xlfn.MAXIFS('Workout Log'!$G$2:$G$501,'Workout Log'!$C$2:$C$501,A20))</f>
        <v/>
      </c>
      <c r="C20" s="5" t="n">
        <f aca="false">COUNTIF('Workout Log'!$C$2:$C$501,A20)</f>
        <v>0</v>
      </c>
      <c r="D20" s="19" t="str">
        <f aca="false">IF(C20=0,"",_xlfn.MAXIFS('Workout Log'!$A$2:$A$501,'Workout Log'!$C$2:$C$501,A20))</f>
        <v/>
      </c>
    </row>
    <row r="21" customFormat="false" ht="15" hidden="false" customHeight="false" outlineLevel="0" collapsed="false">
      <c r="A21" s="5" t="str">
        <f aca="false">Lists!A21</f>
        <v>Hanging Knee Raise</v>
      </c>
      <c r="B21" s="11" t="str">
        <f aca="false">IF(COUNTIF('Workout Log'!$C$2:$C$501,A21)=0,"",_xlfn.MAXIFS('Workout Log'!$G$2:$G$501,'Workout Log'!$C$2:$C$501,A21))</f>
        <v/>
      </c>
      <c r="C21" s="5" t="n">
        <f aca="false">COUNTIF('Workout Log'!$C$2:$C$501,A21)</f>
        <v>0</v>
      </c>
      <c r="D21" s="19" t="str">
        <f aca="false">IF(C21=0,"",_xlfn.MAXIFS('Workout Log'!$A$2:$A$501,'Workout Log'!$C$2:$C$501,A21))</f>
        <v/>
      </c>
    </row>
    <row r="22" customFormat="false" ht="15" hidden="false" customHeight="false" outlineLevel="0" collapsed="false">
      <c r="A22" s="5" t="str">
        <f aca="false">Lists!A22</f>
        <v>Dead Hang (seconds)</v>
      </c>
      <c r="B22" s="11" t="str">
        <f aca="false">IF(COUNTIF('Workout Log'!$C$2:$C$501,A22)=0,"",_xlfn.MAXIFS('Workout Log'!$G$2:$G$501,'Workout Log'!$C$2:$C$501,A22))</f>
        <v/>
      </c>
      <c r="C22" s="5" t="n">
        <f aca="false">COUNTIF('Workout Log'!$C$2:$C$501,A22)</f>
        <v>0</v>
      </c>
      <c r="D22" s="19" t="str">
        <f aca="false">IF(C22=0,"",_xlfn.MAXIFS('Workout Log'!$A$2:$A$501,'Workout Log'!$C$2:$C$501,A22))</f>
        <v/>
      </c>
    </row>
    <row r="25" customFormat="false" ht="15" hidden="false" customHeight="false" outlineLevel="0" collapsed="false">
      <c r="A25" s="7" t="s">
        <v>54</v>
      </c>
      <c r="B25" s="7"/>
      <c r="C25" s="7"/>
      <c r="D25" s="7"/>
    </row>
  </sheetData>
  <mergeCells count="1"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20" t="s">
        <v>55</v>
      </c>
      <c r="C1" s="20" t="s">
        <v>56</v>
      </c>
      <c r="E1" s="20" t="s">
        <v>9</v>
      </c>
    </row>
    <row r="2" customFormat="false" ht="15" hidden="false" customHeight="false" outlineLevel="0" collapsed="false">
      <c r="A2" s="5" t="s">
        <v>46</v>
      </c>
      <c r="C2" s="5" t="s">
        <v>45</v>
      </c>
      <c r="E2" s="21" t="s">
        <v>10</v>
      </c>
    </row>
    <row r="3" customFormat="false" ht="15" hidden="false" customHeight="false" outlineLevel="0" collapsed="false">
      <c r="A3" s="5" t="s">
        <v>47</v>
      </c>
      <c r="C3" s="5" t="s">
        <v>48</v>
      </c>
      <c r="E3" s="21" t="s">
        <v>57</v>
      </c>
    </row>
    <row r="4" customFormat="false" ht="15" hidden="false" customHeight="false" outlineLevel="0" collapsed="false">
      <c r="A4" s="5" t="s">
        <v>58</v>
      </c>
      <c r="C4" s="5" t="s">
        <v>59</v>
      </c>
    </row>
    <row r="5" customFormat="false" ht="15" hidden="false" customHeight="false" outlineLevel="0" collapsed="false">
      <c r="A5" s="5" t="s">
        <v>60</v>
      </c>
      <c r="C5" s="5" t="s">
        <v>61</v>
      </c>
    </row>
    <row r="6" customFormat="false" ht="15" hidden="false" customHeight="false" outlineLevel="0" collapsed="false">
      <c r="A6" s="5" t="s">
        <v>62</v>
      </c>
      <c r="C6" s="5" t="s">
        <v>63</v>
      </c>
    </row>
    <row r="7" customFormat="false" ht="15" hidden="false" customHeight="false" outlineLevel="0" collapsed="false">
      <c r="A7" s="5" t="s">
        <v>64</v>
      </c>
      <c r="C7" s="5" t="s">
        <v>65</v>
      </c>
    </row>
    <row r="8" customFormat="false" ht="15" hidden="false" customHeight="false" outlineLevel="0" collapsed="false">
      <c r="A8" s="5" t="s">
        <v>66</v>
      </c>
      <c r="C8" s="5" t="s">
        <v>67</v>
      </c>
    </row>
    <row r="9" customFormat="false" ht="15" hidden="false" customHeight="false" outlineLevel="0" collapsed="false">
      <c r="A9" s="5" t="s">
        <v>49</v>
      </c>
      <c r="C9" s="5" t="s">
        <v>68</v>
      </c>
    </row>
    <row r="10" customFormat="false" ht="15" hidden="false" customHeight="false" outlineLevel="0" collapsed="false">
      <c r="A10" s="5" t="s">
        <v>69</v>
      </c>
    </row>
    <row r="11" customFormat="false" ht="15" hidden="false" customHeight="false" outlineLevel="0" collapsed="false">
      <c r="A11" s="5" t="s">
        <v>70</v>
      </c>
    </row>
    <row r="12" customFormat="false" ht="15" hidden="false" customHeight="false" outlineLevel="0" collapsed="false">
      <c r="A12" s="5" t="s">
        <v>71</v>
      </c>
    </row>
    <row r="13" customFormat="false" ht="15" hidden="false" customHeight="false" outlineLevel="0" collapsed="false">
      <c r="A13" s="5" t="s">
        <v>72</v>
      </c>
    </row>
    <row r="14" customFormat="false" ht="15" hidden="false" customHeight="false" outlineLevel="0" collapsed="false">
      <c r="A14" s="5" t="s">
        <v>73</v>
      </c>
    </row>
    <row r="15" customFormat="false" ht="15" hidden="false" customHeight="false" outlineLevel="0" collapsed="false">
      <c r="A15" s="5" t="s">
        <v>74</v>
      </c>
    </row>
    <row r="16" customFormat="false" ht="15" hidden="false" customHeight="false" outlineLevel="0" collapsed="false">
      <c r="A16" s="5" t="s">
        <v>75</v>
      </c>
    </row>
    <row r="17" customFormat="false" ht="15" hidden="false" customHeight="false" outlineLevel="0" collapsed="false">
      <c r="A17" s="5" t="s">
        <v>76</v>
      </c>
    </row>
    <row r="18" customFormat="false" ht="15" hidden="false" customHeight="false" outlineLevel="0" collapsed="false">
      <c r="A18" s="5" t="s">
        <v>77</v>
      </c>
    </row>
    <row r="19" customFormat="false" ht="15" hidden="false" customHeight="false" outlineLevel="0" collapsed="false">
      <c r="A19" s="5" t="s">
        <v>78</v>
      </c>
    </row>
    <row r="20" customFormat="false" ht="15" hidden="false" customHeight="false" outlineLevel="0" collapsed="false">
      <c r="A20" s="5" t="s">
        <v>79</v>
      </c>
    </row>
    <row r="21" customFormat="false" ht="15" hidden="false" customHeight="false" outlineLevel="0" collapsed="false">
      <c r="A21" s="5" t="s">
        <v>80</v>
      </c>
    </row>
    <row r="22" customFormat="false" ht="15" hidden="false" customHeight="false" outlineLevel="0" collapsed="false">
      <c r="A22" s="5" t="s">
        <v>81</v>
      </c>
    </row>
    <row r="23" customFormat="false" ht="15" hidden="false" customHeight="false" outlineLevel="0" collapsed="false">
      <c r="A23" s="5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2026-10-22T10:39:59Z</dcterms:created>
  <dc:creator>openpyxl</dc:creator>
  <dc:description/>
  <dc:language>en-US</dc:language>
  <cp:lastModifiedBy/>
  <dcterms:modified xsi:type="dcterms:W3CDTF">2026-10-22T10:39:59Z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